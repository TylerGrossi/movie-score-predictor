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52128" documentId="8_{0378093B-5E5D-44AA-A90F-51968BBD5636}" xr6:coauthVersionLast="47" xr6:coauthVersionMax="47" xr10:uidLastSave="{6E93D444-9131-44E4-9889-CD2697D535DB}"/>
  <bookViews>
    <workbookView xWindow="28680" yWindow="-120" windowWidth="29040" windowHeight="15840" tabRatio="361"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Rankings'!$B$1:$I$37</definedName>
    <definedName name="_xlnm._FilterDatabase" localSheetId="3" hidden="1">'Director Rankings'!$B$1:$E$1</definedName>
    <definedName name="_xlnm._FilterDatabase" localSheetId="2" hidden="1">'Genre Rankings'!$B$1:$E$38</definedName>
    <definedName name="_xlnm._FilterDatabase" localSheetId="0" hidden="1">'Movie Rankings'!$B$1:$P$141</definedName>
    <definedName name="_xlnm._FilterDatabase" localSheetId="4" hidden="1">'TV Show Rankings'!$B$1:$V$124</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72" i="1" l="1"/>
  <c r="P72" i="1"/>
  <c r="A20" i="4"/>
  <c r="A21" i="4" s="1"/>
  <c r="A22" i="4" s="1"/>
  <c r="A23" i="4" s="1"/>
  <c r="A24" i="4" s="1"/>
  <c r="A25" i="4" s="1"/>
  <c r="A26" i="4" s="1"/>
  <c r="A27" i="4" s="1"/>
  <c r="O88" i="1"/>
  <c r="P88" i="1"/>
  <c r="O40" i="1"/>
  <c r="P40" i="1"/>
  <c r="A39" i="2"/>
  <c r="A40" i="2"/>
  <c r="O52" i="1"/>
  <c r="P52" i="1"/>
  <c r="O41" i="1"/>
  <c r="P41" i="1"/>
  <c r="O12" i="1"/>
  <c r="P12" i="1"/>
  <c r="U4" i="7"/>
  <c r="V4" i="7"/>
  <c r="U7" i="7"/>
  <c r="V7" i="7"/>
  <c r="U6" i="7"/>
  <c r="V6" i="7"/>
  <c r="U8" i="7"/>
  <c r="V8" i="7"/>
  <c r="O130" i="1"/>
  <c r="P130" i="1"/>
  <c r="O31" i="1"/>
  <c r="P31" i="1"/>
  <c r="O14" i="1"/>
  <c r="P14" i="1"/>
  <c r="O104" i="1"/>
  <c r="P104" i="1"/>
  <c r="U5" i="7" l="1"/>
  <c r="V5" i="7"/>
  <c r="O100" i="1"/>
  <c r="P100" i="1"/>
  <c r="O47" i="1"/>
  <c r="P47" i="1"/>
  <c r="O107" i="1"/>
  <c r="P107" i="1"/>
  <c r="A22" i="2"/>
  <c r="A23" i="2" s="1"/>
  <c r="A24" i="2" s="1"/>
  <c r="A25" i="2" s="1"/>
  <c r="A26" i="2" s="1"/>
  <c r="A27" i="2" s="1"/>
  <c r="A28" i="2" s="1"/>
  <c r="A29" i="2" s="1"/>
  <c r="A30" i="2" s="1"/>
  <c r="A31" i="2" s="1"/>
  <c r="A32" i="2" s="1"/>
  <c r="A33" i="2" s="1"/>
  <c r="A34" i="2" s="1"/>
  <c r="A35" i="2" s="1"/>
  <c r="A36" i="2" s="1"/>
  <c r="A37" i="2" s="1"/>
  <c r="A38" i="2" s="1"/>
  <c r="O89" i="1"/>
  <c r="P89" i="1"/>
  <c r="O99" i="1"/>
  <c r="P99" i="1"/>
  <c r="A3" i="7"/>
  <c r="A4" i="7" s="1"/>
  <c r="A5" i="7" s="1"/>
  <c r="A6" i="7" s="1"/>
  <c r="A7" i="7" s="1"/>
  <c r="A8" i="7" s="1"/>
  <c r="O33" i="1"/>
  <c r="P33" i="1"/>
  <c r="O113" i="1"/>
  <c r="P113" i="1"/>
  <c r="O36" i="1"/>
  <c r="P36" i="1"/>
  <c r="V2" i="7"/>
  <c r="U2" i="7"/>
  <c r="V3" i="7"/>
  <c r="U3" i="7"/>
  <c r="P48" i="1"/>
  <c r="O48" i="1"/>
  <c r="O28" i="1"/>
  <c r="P28" i="1"/>
  <c r="O98" i="1"/>
  <c r="P98" i="1"/>
  <c r="O25" i="1"/>
  <c r="P25" i="1"/>
  <c r="O22" i="1"/>
  <c r="P22" i="1"/>
  <c r="O97" i="1"/>
  <c r="P97" i="1"/>
  <c r="O126" i="1"/>
  <c r="P126" i="1"/>
  <c r="O92" i="1"/>
  <c r="P92" i="1"/>
  <c r="O70" i="1"/>
  <c r="P70" i="1"/>
  <c r="O21" i="1"/>
  <c r="P21" i="1"/>
  <c r="A12" i="6"/>
  <c r="O83" i="1"/>
  <c r="P83" i="1"/>
  <c r="O32" i="1"/>
  <c r="P32" i="1"/>
  <c r="O90" i="1"/>
  <c r="P90" i="1"/>
  <c r="A3" i="6"/>
  <c r="A4" i="6" s="1"/>
  <c r="A5" i="6" s="1"/>
  <c r="A6" i="6" s="1"/>
  <c r="A7" i="6" s="1"/>
  <c r="A8" i="6" s="1"/>
  <c r="A9" i="6" s="1"/>
  <c r="A10" i="6" s="1"/>
  <c r="A11" i="6" s="1"/>
  <c r="O71" i="1"/>
  <c r="P71" i="1"/>
  <c r="O15" i="1"/>
  <c r="P15" i="1"/>
  <c r="O91" i="1"/>
  <c r="P91" i="1"/>
  <c r="O11" i="1"/>
  <c r="P11" i="1"/>
  <c r="O77" i="1"/>
  <c r="P77" i="1"/>
  <c r="O102" i="1"/>
  <c r="P102" i="1"/>
  <c r="O87" i="1"/>
  <c r="P87" i="1"/>
  <c r="O108" i="1"/>
  <c r="P108" i="1"/>
  <c r="O54" i="1"/>
  <c r="P54" i="1"/>
  <c r="O34" i="1"/>
  <c r="P34" i="1"/>
  <c r="O134" i="1"/>
  <c r="P134" i="1"/>
  <c r="O66" i="1"/>
  <c r="P66" i="1"/>
  <c r="O74" i="1"/>
  <c r="O80" i="1"/>
  <c r="P80" i="1"/>
  <c r="O128" i="1"/>
  <c r="P128" i="1"/>
  <c r="O94" i="1"/>
  <c r="P94" i="1"/>
  <c r="O120" i="1"/>
  <c r="P120" i="1"/>
  <c r="O101" i="1"/>
  <c r="P101" i="1"/>
  <c r="O9" i="1"/>
  <c r="P9" i="1"/>
  <c r="O81" i="1"/>
  <c r="P81" i="1"/>
  <c r="O84" i="1"/>
  <c r="P84" i="1"/>
  <c r="O105" i="1"/>
  <c r="P105" i="1"/>
  <c r="O73" i="1"/>
  <c r="P73" i="1"/>
  <c r="O17" i="1"/>
  <c r="P17" i="1"/>
  <c r="O45" i="1"/>
  <c r="P45" i="1"/>
  <c r="O4" i="1"/>
  <c r="P4" i="1"/>
  <c r="O3" i="1"/>
  <c r="P3" i="1"/>
  <c r="O16" i="1"/>
  <c r="P16" i="1"/>
  <c r="O7" i="1"/>
  <c r="P7" i="1"/>
  <c r="O18" i="1"/>
  <c r="P18" i="1"/>
  <c r="O6" i="1"/>
  <c r="P6" i="1"/>
  <c r="O20" i="1"/>
  <c r="P20" i="1"/>
  <c r="O39" i="1"/>
  <c r="P39" i="1"/>
  <c r="O19" i="1"/>
  <c r="P19" i="1"/>
  <c r="O8" i="1"/>
  <c r="P8" i="1"/>
  <c r="O5" i="1"/>
  <c r="P5" i="1"/>
  <c r="O51" i="1"/>
  <c r="P51" i="1"/>
  <c r="O37" i="1"/>
  <c r="P37" i="1"/>
  <c r="O27" i="1"/>
  <c r="P27" i="1"/>
  <c r="O75" i="1"/>
  <c r="P75" i="1"/>
  <c r="O44" i="1"/>
  <c r="P44" i="1"/>
  <c r="O53" i="1"/>
  <c r="P53" i="1"/>
  <c r="O43" i="1"/>
  <c r="P43" i="1"/>
  <c r="O10" i="1"/>
  <c r="P10" i="1"/>
  <c r="O30" i="1"/>
  <c r="P30" i="1"/>
  <c r="O68" i="1"/>
  <c r="P68" i="1"/>
  <c r="O38" i="1"/>
  <c r="P38" i="1"/>
  <c r="O46" i="1"/>
  <c r="P46" i="1"/>
  <c r="O23" i="1"/>
  <c r="P23" i="1"/>
  <c r="O13" i="1"/>
  <c r="P13" i="1"/>
  <c r="O58" i="1"/>
  <c r="P58" i="1"/>
  <c r="O42" i="1"/>
  <c r="P42" i="1"/>
  <c r="O35" i="1"/>
  <c r="P35" i="1"/>
  <c r="O60" i="1"/>
  <c r="P60" i="1"/>
  <c r="O63" i="1"/>
  <c r="P63" i="1"/>
  <c r="O50" i="1"/>
  <c r="P50" i="1"/>
  <c r="O76" i="1"/>
  <c r="P76" i="1"/>
  <c r="O65" i="1"/>
  <c r="P65" i="1"/>
  <c r="P74" i="1"/>
  <c r="O62" i="1"/>
  <c r="P62" i="1"/>
  <c r="O26" i="1"/>
  <c r="P26" i="1"/>
  <c r="O64" i="1"/>
  <c r="P64" i="1"/>
  <c r="O55" i="1"/>
  <c r="P55" i="1"/>
  <c r="O24" i="1"/>
  <c r="P24" i="1"/>
  <c r="O59" i="1"/>
  <c r="P59" i="1"/>
  <c r="O109" i="1"/>
  <c r="P109" i="1"/>
  <c r="O29" i="1"/>
  <c r="P29" i="1"/>
  <c r="O95" i="1"/>
  <c r="P95" i="1"/>
  <c r="O69" i="1"/>
  <c r="P69" i="1"/>
  <c r="O57" i="1"/>
  <c r="P57" i="1"/>
  <c r="O56" i="1"/>
  <c r="P56" i="1"/>
  <c r="O103" i="1"/>
  <c r="P103" i="1"/>
  <c r="O79" i="1"/>
  <c r="P79" i="1"/>
  <c r="O82" i="1"/>
  <c r="P82" i="1"/>
  <c r="O49" i="1"/>
  <c r="P49" i="1"/>
  <c r="O86" i="1"/>
  <c r="P86" i="1"/>
  <c r="O112" i="1"/>
  <c r="P112" i="1"/>
  <c r="O85" i="1"/>
  <c r="P85" i="1"/>
  <c r="O67" i="1"/>
  <c r="P67" i="1"/>
  <c r="O61" i="1"/>
  <c r="P61" i="1"/>
  <c r="O116" i="1"/>
  <c r="P116" i="1"/>
  <c r="O93" i="1"/>
  <c r="P93" i="1"/>
  <c r="O119" i="1"/>
  <c r="P119" i="1"/>
  <c r="O127" i="1"/>
  <c r="P127" i="1"/>
  <c r="O96" i="1"/>
  <c r="P96" i="1"/>
  <c r="O123" i="1"/>
  <c r="P123" i="1"/>
  <c r="O106" i="1"/>
  <c r="P106" i="1"/>
  <c r="O78" i="1"/>
  <c r="P78" i="1"/>
  <c r="O118" i="1"/>
  <c r="P118" i="1"/>
  <c r="O121" i="1"/>
  <c r="P121" i="1"/>
  <c r="O114" i="1"/>
  <c r="P114" i="1"/>
  <c r="O122" i="1"/>
  <c r="P122" i="1"/>
  <c r="O125" i="1"/>
  <c r="P125" i="1"/>
  <c r="O110" i="1"/>
  <c r="P110" i="1"/>
  <c r="O115" i="1"/>
  <c r="P115" i="1"/>
  <c r="O117" i="1"/>
  <c r="P117" i="1"/>
  <c r="O131" i="1"/>
  <c r="P131" i="1"/>
  <c r="O133" i="1"/>
  <c r="P133" i="1"/>
  <c r="O124" i="1"/>
  <c r="P124" i="1"/>
  <c r="O111" i="1"/>
  <c r="P111" i="1"/>
  <c r="O132" i="1"/>
  <c r="P132" i="1"/>
  <c r="O129" i="1"/>
  <c r="P129" i="1"/>
  <c r="O136" i="1"/>
  <c r="P136" i="1"/>
  <c r="O135" i="1"/>
  <c r="P135" i="1"/>
  <c r="O137" i="1"/>
  <c r="P137" i="1"/>
  <c r="O138" i="1"/>
  <c r="P138" i="1"/>
  <c r="O139" i="1"/>
  <c r="P139" i="1"/>
  <c r="O140" i="1"/>
  <c r="P140" i="1"/>
  <c r="O141" i="1"/>
  <c r="P141" i="1"/>
  <c r="P2" i="1"/>
  <c r="O2" i="1"/>
  <c r="A3" i="4"/>
  <c r="A4" i="4" s="1"/>
  <c r="A5" i="4" s="1"/>
  <c r="A6" i="4" s="1"/>
  <c r="A7" i="4" s="1"/>
  <c r="A8" i="4" s="1"/>
  <c r="A9" i="4" s="1"/>
  <c r="A10" i="4" s="1"/>
  <c r="A11" i="4" s="1"/>
  <c r="A12" i="4" s="1"/>
  <c r="A13" i="4" s="1"/>
  <c r="A14" i="4" s="1"/>
  <c r="A15" i="4" s="1"/>
  <c r="A16" i="4" s="1"/>
  <c r="A17" i="4" s="1"/>
  <c r="A18" i="4" s="1"/>
  <c r="A19" i="4" s="1"/>
  <c r="A3" i="2"/>
  <c r="A4" i="2" s="1"/>
  <c r="A5" i="2" s="1"/>
  <c r="A6" i="2" s="1"/>
  <c r="A7" i="2" s="1"/>
  <c r="A8" i="2" s="1"/>
  <c r="A9" i="2" s="1"/>
  <c r="A10" i="2" s="1"/>
  <c r="A11" i="2" s="1"/>
  <c r="A12" i="2" s="1"/>
  <c r="A13" i="2" s="1"/>
  <c r="A14" i="2" s="1"/>
  <c r="A15" i="2" s="1"/>
  <c r="A16" i="2" s="1"/>
  <c r="A17" i="2" s="1"/>
  <c r="A18" i="2" s="1"/>
  <c r="A19" i="2" s="1"/>
  <c r="A20" i="2" s="1"/>
  <c r="A21" i="2" s="1"/>
  <c r="A3" i="1"/>
  <c r="A4" i="1" s="1"/>
  <c r="A5" i="1" s="1"/>
  <c r="A6" i="1" l="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L1" i="2" l="1"/>
</calcChain>
</file>

<file path=xl/sharedStrings.xml><?xml version="1.0" encoding="utf-8"?>
<sst xmlns="http://schemas.openxmlformats.org/spreadsheetml/2006/main" count="1772" uniqueCount="736">
  <si>
    <t>Rank</t>
  </si>
  <si>
    <t>Score</t>
  </si>
  <si>
    <t>Year</t>
  </si>
  <si>
    <t>#</t>
  </si>
  <si>
    <t>Difference</t>
  </si>
  <si>
    <t>Movie</t>
  </si>
  <si>
    <t>Actor</t>
  </si>
  <si>
    <t>Actor 2</t>
  </si>
  <si>
    <t>Top Gun</t>
  </si>
  <si>
    <t>Top Gun: Maverick</t>
  </si>
  <si>
    <t>Tom Cruise</t>
  </si>
  <si>
    <t>Val Kimer</t>
  </si>
  <si>
    <t>Talladega Nights: The Ballard of Ricky Bobby</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</si>
  <si>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</si>
  <si>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</si>
  <si>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</si>
  <si>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</si>
  <si>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</si>
  <si>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</si>
  <si>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</si>
  <si>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</si>
  <si>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</si>
  <si>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</si>
  <si>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</si>
  <si>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</si>
  <si>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</si>
  <si>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</si>
  <si>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</si>
  <si>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</si>
  <si>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</si>
  <si>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</si>
  <si>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</si>
  <si>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</si>
  <si>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</si>
  <si>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</si>
  <si>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</si>
  <si>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</si>
  <si>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</si>
  <si>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</si>
  <si>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</si>
  <si>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</si>
  <si>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</si>
  <si>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</si>
  <si>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</si>
  <si>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</si>
  <si>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</si>
  <si>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</si>
  <si>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</si>
  <si>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</si>
  <si>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</si>
  <si>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</si>
  <si>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</si>
  <si>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</si>
  <si>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</si>
  <si>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</si>
  <si>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</si>
  <si>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</si>
  <si>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</si>
  <si>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</si>
  <si>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</si>
  <si>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</si>
  <si>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</si>
  <si>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</si>
  <si>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</si>
  <si>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</si>
  <si>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</si>
  <si>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</si>
  <si>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</si>
  <si>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</si>
  <si>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</si>
  <si>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</si>
  <si>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</si>
  <si>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</si>
  <si>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</si>
  <si>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</si>
  <si>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</si>
  <si>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</si>
  <si>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</si>
  <si>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</si>
  <si>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</si>
  <si>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</si>
  <si>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</si>
  <si>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</si>
  <si>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</si>
  <si>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</si>
  <si>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</si>
  <si>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</si>
  <si>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</si>
  <si>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</si>
  <si>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</si>
  <si>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</si>
  <si>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</si>
  <si>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</si>
  <si>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</si>
  <si>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</si>
  <si>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</si>
  <si>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</si>
  <si>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</si>
  <si>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Dodgeball</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</si>
  <si>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</si>
  <si>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</si>
  <si>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</si>
  <si>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</si>
  <si>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</si>
  <si>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</si>
  <si>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</si>
  <si>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</si>
  <si>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</si>
  <si>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</si>
  <si>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</si>
  <si>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</si>
  <si>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</si>
  <si>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</si>
  <si>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</si>
  <si>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</si>
  <si>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It’s a Wonderful Life</t>
  </si>
  <si>
    <t>Frank Capra</t>
  </si>
  <si>
    <t>The Great Gatsby</t>
  </si>
  <si>
    <t>Tobey Maguire</t>
  </si>
  <si>
    <t>Baz Luhrmann</t>
  </si>
  <si>
    <t>Ted</t>
  </si>
  <si>
    <t>Mila Kunis</t>
  </si>
  <si>
    <t>Seth MacFarlane</t>
  </si>
  <si>
    <t>Grown Ups</t>
  </si>
  <si>
    <t>Salma Hayek</t>
  </si>
  <si>
    <t>Kevin James</t>
  </si>
  <si>
    <t>I Know Pronounce You Chuck &amp; Larry</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</si>
  <si>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</si>
  <si>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</si>
  <si>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</si>
  <si>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</si>
  <si>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</si>
  <si>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</si>
  <si>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</si>
  <si>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</si>
  <si>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</si>
  <si>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</si>
  <si>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</si>
  <si>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</si>
  <si>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</si>
  <si>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</si>
  <si>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</si>
  <si>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</si>
  <si>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</si>
  <si>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</si>
  <si>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</si>
  <si>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</si>
  <si>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</si>
  <si>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</si>
  <si>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</si>
  <si>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</si>
  <si>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</si>
  <si>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</si>
  <si>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</si>
  <si>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</si>
  <si>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</si>
  <si>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</si>
  <si>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</si>
  <si>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</si>
  <si>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</si>
  <si>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</si>
  <si>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</si>
  <si>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</si>
  <si>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</si>
  <si>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</si>
  <si>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</si>
  <si>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</si>
  <si>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</si>
  <si>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</si>
  <si>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</si>
  <si>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</si>
  <si>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</si>
  <si>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</si>
  <si>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</si>
  <si>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</si>
  <si>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</si>
  <si>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</si>
  <si>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</si>
  <si>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</si>
  <si>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</si>
  <si>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</si>
  <si>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</si>
  <si>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</si>
  <si>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</si>
  <si>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</si>
  <si>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</si>
  <si>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</si>
  <si>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</si>
  <si>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</si>
  <si>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</si>
  <si>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</si>
  <si>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</si>
  <si>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</si>
  <si>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</si>
  <si>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</si>
  <si>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</si>
  <si>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</si>
  <si>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</si>
  <si>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</si>
  <si>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</si>
  <si>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</si>
  <si>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</si>
  <si>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</si>
  <si>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</si>
  <si>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</si>
  <si>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</si>
  <si>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</si>
  <si>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</si>
  <si>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</si>
  <si>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</si>
  <si>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</si>
  <si>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</si>
  <si>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</si>
  <si>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</si>
  <si>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</si>
  <si>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</si>
  <si>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</si>
  <si>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</si>
  <si>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</si>
  <si>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</si>
  <si>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</si>
  <si>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</si>
  <si>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</si>
  <si>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</si>
  <si>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</si>
  <si>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</si>
  <si>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</si>
  <si>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</si>
  <si>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</si>
  <si>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</si>
  <si>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</si>
  <si>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</si>
  <si>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</si>
  <si>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</si>
  <si>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</si>
  <si>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</si>
  <si>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</si>
  <si>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</si>
  <si>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</si>
  <si>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</si>
  <si>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</si>
  <si>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</si>
  <si>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</si>
  <si>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</si>
  <si>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</si>
  <si>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</si>
  <si>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</si>
  <si>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</si>
  <si>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</si>
  <si>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</si>
  <si>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</si>
  <si>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</si>
  <si>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</si>
  <si>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</si>
  <si>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</si>
  <si>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</si>
  <si>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</si>
  <si>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</si>
  <si>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</si>
  <si>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</si>
  <si>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</si>
  <si>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</si>
  <si>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</si>
  <si>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</si>
  <si>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</si>
  <si>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</si>
  <si>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</si>
  <si>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</si>
  <si>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</si>
  <si>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</si>
  <si>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</si>
  <si>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</si>
  <si>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</si>
  <si>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</si>
  <si>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</si>
  <si>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</si>
  <si>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</si>
  <si>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</si>
  <si>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</si>
  <si>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</si>
  <si>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</si>
  <si>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</si>
  <si>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</si>
  <si>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</si>
  <si>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</si>
  <si>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</si>
  <si>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</si>
  <si>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</si>
  <si>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</si>
  <si>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</si>
  <si>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</si>
  <si>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</si>
  <si>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</si>
  <si>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</si>
  <si>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</si>
  <si>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</si>
  <si>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</si>
  <si>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</si>
  <si>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</si>
  <si>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</si>
  <si>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</si>
  <si>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</si>
  <si>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</si>
  <si>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</si>
  <si>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</si>
  <si>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</si>
  <si>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</si>
  <si>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</si>
  <si>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</si>
  <si>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</si>
  <si>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</si>
  <si>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</si>
  <si>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</si>
  <si>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</si>
  <si>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</si>
  <si>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</si>
  <si>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</si>
  <si>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</si>
  <si>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</si>
  <si>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</si>
  <si>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</si>
  <si>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</si>
  <si>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</si>
  <si>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</si>
  <si>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</si>
  <si>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</si>
  <si>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</si>
  <si>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</si>
  <si>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</si>
  <si>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</si>
  <si>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</si>
  <si>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</si>
  <si>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</si>
  <si>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</si>
  <si>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</si>
  <si>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</si>
  <si>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</si>
  <si>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</si>
  <si>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</si>
  <si>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</si>
  <si>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</si>
  <si>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</si>
  <si>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</si>
  <si>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</si>
  <si>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</si>
  <si>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</si>
  <si>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</si>
  <si>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</si>
  <si>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</si>
  <si>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</si>
  <si>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</si>
  <si>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</si>
  <si>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</si>
  <si>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</si>
  <si>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</si>
  <si>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</si>
  <si>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</si>
  <si>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</si>
  <si>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</si>
  <si>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</si>
  <si>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</si>
  <si>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</si>
  <si>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</si>
  <si>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</si>
  <si>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</si>
  <si>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</si>
  <si>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</si>
  <si>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</si>
  <si>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</si>
  <si>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</si>
  <si>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</si>
  <si>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</si>
  <si>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</si>
  <si>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</si>
  <si>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</si>
  <si>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</si>
  <si>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</si>
  <si>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</si>
  <si>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</si>
  <si>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</si>
  <si>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</si>
  <si>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</si>
  <si>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</si>
  <si>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</si>
  <si>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</si>
  <si>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</si>
  <si>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</si>
  <si>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</si>
  <si>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</si>
  <si>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</si>
  <si>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</si>
  <si>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</si>
  <si>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</si>
  <si>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</si>
  <si>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</si>
  <si>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</si>
  <si>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</si>
  <si>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</si>
  <si>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</si>
  <si>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</si>
  <si>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</si>
  <si>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</si>
  <si>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</si>
  <si>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</si>
  <si>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</si>
  <si>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</si>
  <si>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</si>
  <si>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</si>
  <si>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</si>
  <si>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</si>
  <si>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</si>
  <si>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</si>
  <si>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</si>
  <si>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</si>
  <si>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</si>
  <si>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</si>
  <si>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</si>
  <si>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</si>
  <si>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</si>
  <si>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</si>
  <si>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</si>
  <si>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</si>
  <si>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</si>
  <si>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</si>
  <si>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</si>
  <si>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</si>
  <si>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</si>
  <si>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</si>
  <si>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</si>
  <si>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</si>
  <si>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</si>
  <si>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</si>
  <si>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</si>
  <si>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</si>
  <si>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</si>
  <si>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</si>
  <si>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</si>
  <si>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</si>
  <si>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</si>
  <si>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The Greatest Game Ever Player</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</si>
  <si>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</si>
  <si>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</si>
  <si>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</si>
  <si>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</si>
  <si>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</si>
  <si>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</si>
  <si>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</si>
  <si>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</si>
  <si>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</si>
  <si>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</si>
  <si>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</si>
  <si>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</si>
  <si>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</si>
  <si>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</si>
  <si>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</si>
  <si>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</si>
  <si>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</si>
  <si>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</si>
  <si>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</si>
  <si>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</si>
  <si>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Daddys Home</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</si>
  <si>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</si>
  <si>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</si>
  <si>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</si>
  <si>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</si>
  <si>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</si>
  <si>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</si>
  <si>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</si>
  <si>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</si>
  <si>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</si>
  <si>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</si>
  <si>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</si>
  <si>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</si>
  <si>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</si>
  <si>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</si>
  <si>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</si>
  <si>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</si>
  <si>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</si>
  <si>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</si>
  <si>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</si>
  <si>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</si>
  <si>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</si>
  <si>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</si>
  <si>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</si>
  <si>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</si>
  <si>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</si>
  <si>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</si>
  <si>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</si>
  <si>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</si>
  <si>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</si>
  <si>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</si>
  <si>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</si>
  <si>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</si>
  <si>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</si>
  <si>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</si>
  <si>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</si>
  <si>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</si>
  <si>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</si>
  <si>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</si>
  <si>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</si>
  <si>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</si>
  <si>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</si>
  <si>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</si>
  <si>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</si>
  <si>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</si>
  <si>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</si>
  <si>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</si>
  <si>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</si>
  <si>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</si>
  <si>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</si>
  <si>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</si>
  <si>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</si>
  <si>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</si>
  <si>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</si>
  <si>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</si>
  <si>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</si>
  <si>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</si>
  <si>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</si>
  <si>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</si>
  <si>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Directors</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</si>
  <si>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</si>
  <si>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</si>
  <si>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</si>
  <si>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</si>
  <si>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</si>
  <si>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</si>
  <si>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</si>
  <si>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</si>
  <si>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</si>
  <si>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</si>
  <si>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</si>
  <si>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</si>
  <si>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</si>
  <si>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</si>
  <si>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</si>
  <si>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</si>
  <si>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</si>
  <si>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</si>
  <si>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</si>
  <si>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</si>
  <si>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</si>
  <si>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</si>
  <si>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</si>
  <si>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</si>
  <si>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</si>
  <si>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</si>
  <si>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</si>
  <si>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Napolean</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</si>
  <si>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</si>
  <si>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</si>
  <si>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</si>
  <si>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</si>
  <si>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</si>
  <si>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</si>
  <si>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</si>
  <si>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</si>
  <si>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</si>
  <si>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</si>
  <si>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</si>
  <si>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</si>
  <si>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</si>
  <si>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</si>
  <si>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</si>
  <si>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</si>
  <si>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</si>
  <si>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</si>
  <si>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</si>
  <si>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</si>
  <si>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</si>
  <si>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</si>
  <si>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</si>
  <si>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</si>
  <si>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</si>
  <si>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</si>
  <si>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</si>
  <si>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</si>
  <si>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</si>
  <si>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</si>
  <si>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</si>
  <si>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</si>
  <si>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</si>
  <si>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</si>
  <si>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</si>
  <si>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</si>
  <si>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</si>
  <si>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</si>
  <si>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</si>
  <si>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</si>
  <si>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</si>
  <si>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</si>
  <si>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</si>
  <si>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</si>
  <si>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</si>
  <si>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</si>
  <si>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</si>
  <si>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</si>
  <si>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</si>
  <si>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</si>
  <si>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</si>
  <si>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</si>
  <si>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</si>
  <si>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</si>
  <si>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</si>
  <si>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</si>
  <si>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</si>
  <si>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</si>
  <si>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</si>
  <si>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</si>
  <si>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</si>
  <si>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</si>
  <si>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</si>
  <si>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</si>
  <si>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</si>
  <si>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</si>
  <si>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</si>
  <si>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</si>
  <si>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</si>
  <si>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</si>
  <si>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</si>
  <si>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</si>
  <si>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</si>
  <si>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</si>
  <si>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</si>
  <si>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</si>
  <si>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</si>
  <si>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</si>
  <si>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</si>
  <si>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</si>
  <si>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</si>
  <si>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Once Upon a Time in Hollywood</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</si>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</sst>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2" fontId="0" fillId="0" borderId="0" xfId="0" applyNumberFormat="1" applyAlignment="1">
      <alignment horizontal="center" vertical="center"/>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Sorting" textlink="">
      <xdr:nvSpPr>
        <xdr:cNvPr id="3" name="Rectangle: Rounded Corners 2">
          <a:extLst>
            <a:ext uri="{FF2B5EF4-FFF2-40B4-BE49-F238E27FC236}">
              <a16:creationId xmlns:a16="http://schemas.microsoft.com/office/drawing/2014/main" id="{4B7B6BEA-3430-8D00-D39E-A84661FE086D}"/>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twoCellAnchor editAs="oneCell">
    <xdr:from>
      <xdr:col>17</xdr:col>
      <xdr:colOff>6350</xdr:colOff>
      <xdr:row>1</xdr:row>
      <xdr:rowOff>6350</xdr:rowOff>
    </xdr:from>
    <xdr:to>
      <xdr:col>17</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200025</xdr:colOff>
      <xdr:row>1</xdr:row>
      <xdr:rowOff>19050</xdr:rowOff>
    </xdr:from>
    <xdr:to>
      <xdr:col>11</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xdr:colOff>
      <xdr:row>1</xdr:row>
      <xdr:rowOff>9525</xdr:rowOff>
    </xdr:from>
    <xdr:to>
      <xdr:col>9</xdr:col>
      <xdr:colOff>9525</xdr:colOff>
      <xdr:row>4</xdr:row>
      <xdr:rowOff>9525</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295649" y="209550"/>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609599</xdr:colOff>
      <xdr:row>0</xdr:row>
      <xdr:rowOff>9525</xdr:rowOff>
    </xdr:from>
    <xdr:to>
      <xdr:col>8</xdr:col>
      <xdr:colOff>0</xdr:colOff>
      <xdr:row>2</xdr:row>
      <xdr:rowOff>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3286124" y="9525"/>
          <a:ext cx="1219201" cy="3810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5</xdr:col>
      <xdr:colOff>600074</xdr:colOff>
      <xdr:row>2</xdr:row>
      <xdr:rowOff>1</xdr:rowOff>
    </xdr:from>
    <xdr:to>
      <xdr:col>8</xdr:col>
      <xdr:colOff>19049</xdr:colOff>
      <xdr:row>4</xdr:row>
      <xdr:rowOff>19051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3276599" y="390526"/>
          <a:ext cx="1247775" cy="4000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Q3:Q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H184"/>
  <sheetViews>
    <sheetView tabSelected="1" workbookViewId="0">
      <pane xSplit="3" ySplit="1" topLeftCell="D44" activePane="bottomRight" state="frozen"/>
      <selection pane="topRight" activeCell="D1" sqref="D1"/>
      <selection pane="bottomLeft" activeCell="A2" sqref="A2"/>
      <selection pane="bottomRight" activeCell="H73" sqref="H73"/>
    </sheetView>
  </sheetViews>
  <sheetFormatPr defaultRowHeight="15" x14ac:dyDescent="0.25"/>
  <cols>
    <col min="1" max="1" width="5.28515625" style="4" customWidth="1"/>
    <col min="2" max="2" width="43.5703125" style="4" bestFit="1" customWidth="1"/>
    <col min="3" max="3" width="10.42578125" style="4" customWidth="1"/>
    <col min="4" max="4" width="9.42578125" style="4" customWidth="1"/>
    <col min="5" max="5" width="22.28515625" style="10" customWidth="1"/>
    <col min="6" max="6" width="21.140625" style="10" customWidth="1"/>
    <col min="7" max="7" width="22.28515625" style="10" customWidth="1"/>
    <col min="8" max="8" width="22.85546875" style="10" customWidth="1"/>
    <col min="9" max="9" width="21.5703125" style="10" customWidth="1"/>
    <col min="10" max="10" width="9.85546875" bestFit="1" customWidth="1"/>
    <col min="11" max="12" width="10.42578125" bestFit="1" customWidth="1"/>
    <col min="13" max="13" width="8" style="4" bestFit="1" customWidth="1"/>
    <col min="14" max="14" width="5.42578125" style="4" bestFit="1" customWidth="1"/>
    <col min="15" max="15" width="8.7109375" customWidth="1"/>
    <col min="16" max="16" width="5.7109375" bestFit="1" customWidth="1"/>
    <col min="17" max="17" width="49.28515625" bestFit="1" customWidth="1"/>
    <col min="18" max="18" width="17.85546875" bestFit="1" customWidth="1"/>
    <col min="19" max="30" width="3.85546875" bestFit="1" customWidth="1"/>
    <col min="31" max="31" width="1.85546875" bestFit="1" customWidth="1"/>
    <col min="32" max="40" width="3.85546875" bestFit="1" customWidth="1"/>
    <col min="41" max="41" width="1.85546875" bestFit="1" customWidth="1"/>
    <col min="42" max="50" width="3.85546875" bestFit="1" customWidth="1"/>
    <col min="51" max="51" width="1.85546875" bestFit="1" customWidth="1"/>
    <col min="52" max="58" width="3.85546875" bestFit="1" customWidth="1"/>
    <col min="59" max="59" width="10.7109375" bestFit="1" customWidth="1"/>
    <col min="60" max="60" width="15.28515625" bestFit="1" customWidth="1"/>
    <col min="61" max="61" width="11.85546875" bestFit="1" customWidth="1"/>
    <col min="62" max="62" width="13.42578125" bestFit="1" customWidth="1"/>
    <col min="63" max="63" width="11.5703125" bestFit="1" customWidth="1"/>
    <col min="64" max="64" width="13.42578125" bestFit="1" customWidth="1"/>
    <col min="65" max="65" width="12.42578125" bestFit="1" customWidth="1"/>
    <col min="66" max="66" width="15.7109375" bestFit="1" customWidth="1"/>
    <col min="67" max="67" width="17.5703125" bestFit="1" customWidth="1"/>
    <col min="68" max="68" width="11.42578125" bestFit="1" customWidth="1"/>
    <col min="69" max="69" width="10.5703125" bestFit="1" customWidth="1"/>
    <col min="70" max="70" width="12.85546875" bestFit="1" customWidth="1"/>
    <col min="71" max="71" width="11.140625" bestFit="1" customWidth="1"/>
    <col min="72" max="72" width="8.42578125" bestFit="1" customWidth="1"/>
    <col min="73" max="73" width="17.42578125" bestFit="1" customWidth="1"/>
    <col min="74" max="74" width="10.140625" bestFit="1" customWidth="1"/>
    <col min="75" max="75" width="9.42578125" bestFit="1" customWidth="1"/>
    <col min="76" max="76" width="10.140625" bestFit="1" customWidth="1"/>
    <col min="77" max="77" width="12.140625" bestFit="1" customWidth="1"/>
    <col min="78" max="78" width="9.7109375" bestFit="1" customWidth="1"/>
    <col min="79" max="79" width="10.7109375" bestFit="1" customWidth="1"/>
    <col min="80" max="80" width="13.28515625" bestFit="1" customWidth="1"/>
    <col min="81" max="81" width="15.85546875" bestFit="1" customWidth="1"/>
    <col min="82" max="82" width="16.42578125" bestFit="1" customWidth="1"/>
    <col min="83" max="83" width="19.42578125" bestFit="1" customWidth="1"/>
    <col min="84" max="84" width="12.140625" bestFit="1" customWidth="1"/>
    <col min="85" max="85" width="13" bestFit="1" customWidth="1"/>
    <col min="86" max="86" width="15.7109375" bestFit="1" customWidth="1"/>
    <col min="87" max="87" width="17" bestFit="1" customWidth="1"/>
    <col min="88" max="88" width="14.140625" bestFit="1" customWidth="1"/>
    <col min="89" max="89" width="9.42578125" bestFit="1" customWidth="1"/>
    <col min="90" max="90" width="17.28515625" bestFit="1" customWidth="1"/>
    <col min="91" max="91" width="17.140625" bestFit="1" customWidth="1"/>
    <col min="92" max="92" width="12.28515625" bestFit="1" customWidth="1"/>
    <col min="93" max="93" width="17.28515625" bestFit="1" customWidth="1"/>
    <col min="94" max="94" width="14.85546875" bestFit="1" customWidth="1"/>
    <col min="95" max="95" width="8.85546875" bestFit="1" customWidth="1"/>
    <col min="96" max="96" width="15.42578125" bestFit="1" customWidth="1"/>
    <col min="97" max="97" width="18.28515625" bestFit="1" customWidth="1"/>
    <col min="98" max="98" width="11.5703125" bestFit="1" customWidth="1"/>
    <col min="99" max="99" width="13.42578125" bestFit="1" customWidth="1"/>
    <col min="100" max="100" width="11.5703125" bestFit="1" customWidth="1"/>
    <col min="101" max="101" width="13.42578125" bestFit="1" customWidth="1"/>
    <col min="102" max="102" width="10.140625" bestFit="1" customWidth="1"/>
    <col min="103" max="103" width="21.42578125" bestFit="1" customWidth="1"/>
    <col min="104" max="104" width="12.7109375" bestFit="1" customWidth="1"/>
    <col min="105" max="106" width="15.7109375" bestFit="1" customWidth="1"/>
    <col min="107" max="107" width="9.42578125" bestFit="1" customWidth="1"/>
    <col min="108" max="108" width="18.7109375" bestFit="1" customWidth="1"/>
    <col min="109" max="109" width="15.42578125" bestFit="1" customWidth="1"/>
    <col min="110" max="110" width="10.5703125" bestFit="1" customWidth="1"/>
    <col min="111" max="111" width="18.42578125" bestFit="1" customWidth="1"/>
    <col min="112" max="112" width="13.42578125" bestFit="1" customWidth="1"/>
    <col min="113" max="113" width="12.28515625" bestFit="1" customWidth="1"/>
    <col min="114" max="114" width="12.7109375" bestFit="1" customWidth="1"/>
    <col min="115" max="115" width="13.7109375" bestFit="1" customWidth="1"/>
    <col min="116" max="116" width="13.85546875" bestFit="1" customWidth="1"/>
    <col min="117" max="117" width="10.85546875" bestFit="1" customWidth="1"/>
    <col min="118" max="118" width="13.28515625" bestFit="1" customWidth="1"/>
    <col min="119" max="119" width="12.140625" bestFit="1" customWidth="1"/>
    <col min="120" max="120" width="16.42578125" bestFit="1" customWidth="1"/>
    <col min="121" max="121" width="22.85546875" bestFit="1" customWidth="1"/>
    <col min="122" max="122" width="25.85546875" bestFit="1" customWidth="1"/>
    <col min="123" max="123" width="13.42578125" bestFit="1" customWidth="1"/>
    <col min="124" max="124" width="16.42578125" bestFit="1" customWidth="1"/>
    <col min="125" max="125" width="15.42578125" bestFit="1" customWidth="1"/>
    <col min="126" max="126" width="18.42578125" bestFit="1" customWidth="1"/>
    <col min="127" max="127" width="12.140625" bestFit="1" customWidth="1"/>
    <col min="128" max="128" width="15.140625" bestFit="1" customWidth="1"/>
    <col min="129" max="129" width="17.140625" bestFit="1" customWidth="1"/>
    <col min="130" max="130" width="20.140625" bestFit="1" customWidth="1"/>
    <col min="131" max="131" width="13.7109375" bestFit="1" customWidth="1"/>
    <col min="132" max="132" width="16.7109375" bestFit="1" customWidth="1"/>
    <col min="133" max="133" width="15.140625" bestFit="1" customWidth="1"/>
    <col min="134" max="134" width="18.140625" bestFit="1" customWidth="1"/>
    <col min="135" max="135" width="13.42578125" bestFit="1" customWidth="1"/>
    <col min="136" max="136" width="16.42578125" bestFit="1" customWidth="1"/>
    <col min="137" max="137" width="15.140625" bestFit="1" customWidth="1"/>
    <col min="138" max="138" width="10.85546875" bestFit="1" customWidth="1"/>
    <col min="139" max="139" width="8.140625" bestFit="1" customWidth="1"/>
    <col min="140" max="140" width="9.140625" bestFit="1" customWidth="1"/>
    <col min="141" max="141" width="18.140625" bestFit="1" customWidth="1"/>
    <col min="142" max="142" width="14.140625" bestFit="1" customWidth="1"/>
    <col min="143" max="143" width="17.28515625" bestFit="1" customWidth="1"/>
    <col min="144" max="144" width="17.5703125" bestFit="1" customWidth="1"/>
    <col min="145" max="145" width="20.5703125" bestFit="1" customWidth="1"/>
    <col min="146" max="146" width="19.42578125" bestFit="1" customWidth="1"/>
    <col min="147" max="147" width="22.42578125" bestFit="1" customWidth="1"/>
    <col min="148" max="148" width="14" bestFit="1" customWidth="1"/>
    <col min="149" max="149" width="16.28515625" bestFit="1" customWidth="1"/>
    <col min="150" max="150" width="12.42578125" bestFit="1" customWidth="1"/>
    <col min="151" max="151" width="15.42578125" bestFit="1" customWidth="1"/>
    <col min="152" max="152" width="14.7109375" bestFit="1" customWidth="1"/>
    <col min="153" max="153" width="17.7109375" bestFit="1" customWidth="1"/>
    <col min="154" max="154" width="15.28515625" bestFit="1" customWidth="1"/>
    <col min="155" max="155" width="15.85546875" bestFit="1" customWidth="1"/>
    <col min="156" max="156" width="11.85546875" bestFit="1" customWidth="1"/>
    <col min="157" max="157" width="13.140625" bestFit="1" customWidth="1"/>
    <col min="158" max="158" width="19.28515625" bestFit="1" customWidth="1"/>
    <col min="159" max="159" width="22.28515625" bestFit="1" customWidth="1"/>
    <col min="160" max="161" width="12.5703125" bestFit="1" customWidth="1"/>
    <col min="162" max="162" width="14.140625" bestFit="1" customWidth="1"/>
    <col min="163" max="163" width="12.140625" bestFit="1" customWidth="1"/>
    <col min="164" max="164" width="13" bestFit="1" customWidth="1"/>
    <col min="165" max="165" width="9.85546875" bestFit="1" customWidth="1"/>
    <col min="166" max="166" width="17.140625" bestFit="1" customWidth="1"/>
    <col min="167" max="167" width="13.28515625" bestFit="1" customWidth="1"/>
    <col min="168" max="168" width="9.5703125" bestFit="1" customWidth="1"/>
    <col min="169" max="169" width="17.42578125" bestFit="1" customWidth="1"/>
    <col min="170" max="170" width="10.42578125" bestFit="1" customWidth="1"/>
    <col min="171" max="171" width="12.42578125" bestFit="1" customWidth="1"/>
    <col min="172" max="172" width="15.85546875" bestFit="1" customWidth="1"/>
    <col min="173" max="173" width="12.140625" bestFit="1" customWidth="1"/>
    <col min="174" max="174" width="11.140625" bestFit="1" customWidth="1"/>
    <col min="175" max="175" width="15" bestFit="1" customWidth="1"/>
    <col min="176" max="176" width="11.28515625" bestFit="1" customWidth="1"/>
    <col min="177" max="177" width="14.28515625" bestFit="1" customWidth="1"/>
    <col min="178" max="178" width="12" bestFit="1" customWidth="1"/>
    <col min="179" max="179" width="15" bestFit="1" customWidth="1"/>
    <col min="180" max="180" width="14" bestFit="1" customWidth="1"/>
    <col min="181" max="181" width="17.140625" bestFit="1" customWidth="1"/>
    <col min="182" max="182" width="17.42578125" bestFit="1" customWidth="1"/>
    <col min="183" max="183" width="9.5703125" bestFit="1" customWidth="1"/>
    <col min="184" max="184" width="14.7109375" bestFit="1" customWidth="1"/>
    <col min="185" max="185" width="9.5703125" bestFit="1" customWidth="1"/>
    <col min="186" max="186" width="13.85546875" bestFit="1" customWidth="1"/>
    <col min="187" max="187" width="11.28515625" bestFit="1" customWidth="1"/>
    <col min="188" max="188" width="15.5703125" bestFit="1" customWidth="1"/>
    <col min="189" max="189" width="14.5703125" bestFit="1" customWidth="1"/>
    <col min="190" max="190" width="10.7109375" bestFit="1" customWidth="1"/>
  </cols>
  <sheetData>
    <row r="1" spans="1:18" s="3" customFormat="1" ht="15.75" thickBot="1" x14ac:dyDescent="0.3">
      <c r="A1" s="1" t="s">
        <v>0</v>
      </c>
      <c r="B1" s="1" t="s">
        <v>5</v>
      </c>
      <c r="C1" s="1" t="s">
        <v>1</v>
      </c>
      <c r="D1" s="1" t="s">
        <v>2</v>
      </c>
      <c r="E1" s="1" t="s">
        <v>6</v>
      </c>
      <c r="F1" s="1" t="s">
        <v>7</v>
      </c>
      <c r="G1" s="2" t="s">
        <v>18</v>
      </c>
      <c r="H1" s="2" t="s">
        <v>20</v>
      </c>
      <c r="I1" s="2" t="s">
        <v>37</v>
      </c>
      <c r="J1" s="3" t="s">
        <v>718</v>
      </c>
      <c r="K1" s="3" t="s">
        <v>719</v>
      </c>
      <c r="L1" s="3" t="s">
        <v>720</v>
      </c>
      <c r="M1" s="22" t="s">
        <v>400</v>
      </c>
      <c r="N1" s="22" t="s">
        <v>417</v>
      </c>
      <c r="O1" s="3" t="s">
        <v>419</v>
      </c>
      <c r="P1" s="3" t="s">
        <v>418</v>
      </c>
      <c r="Q1" s="25" t="s">
        <v>2</v>
      </c>
      <c r="R1" t="s">
        <v>611</v>
      </c>
    </row>
    <row r="2" spans="1:18" x14ac:dyDescent="0.25">
      <c r="A2" s="4">
        <v>1</v>
      </c>
      <c r="B2" s="4" t="s">
        <v>245</v>
      </c>
      <c r="C2" s="4">
        <v>9.81</v>
      </c>
      <c r="D2" s="4">
        <v>1994</v>
      </c>
      <c r="E2" s="5" t="s">
        <v>246</v>
      </c>
      <c r="F2" s="10" t="s">
        <v>58</v>
      </c>
      <c r="G2" s="10" t="s">
        <v>420</v>
      </c>
      <c r="H2" s="10" t="s">
        <v>247</v>
      </c>
      <c r="I2" s="10" t="s">
        <v>248</v>
      </c>
      <c r="J2" s="10" t="s">
        <v>224</v>
      </c>
      <c r="K2" s="10" t="s">
        <v>232</v>
      </c>
      <c r="L2" s="10" t="s">
        <v>726</v>
      </c>
      <c r="M2" s="4">
        <v>9.3000000000000007</v>
      </c>
      <c r="N2" s="4">
        <v>91</v>
      </c>
      <c r="O2" s="23">
        <f t="shared" ref="O2:O33" si="0">(M2+(N2/10))/2</f>
        <v>9.1999999999999993</v>
      </c>
      <c r="P2" s="23">
        <f t="shared" ref="P2:P33" si="1">(M2+C2+(N2/10))/3</f>
        <v>9.4033333333333342</v>
      </c>
    </row>
    <row r="3" spans="1:18" x14ac:dyDescent="0.25">
      <c r="A3" s="4">
        <f t="shared" ref="A3:A34" si="2">A2+1</f>
        <v>2</v>
      </c>
      <c r="B3" s="4" t="s">
        <v>22</v>
      </c>
      <c r="C3" s="4">
        <v>9.6199999999999992</v>
      </c>
      <c r="D3" s="4">
        <v>1997</v>
      </c>
      <c r="E3" s="5" t="s">
        <v>23</v>
      </c>
      <c r="F3" s="5" t="s">
        <v>25</v>
      </c>
      <c r="G3" s="5" t="s">
        <v>24</v>
      </c>
      <c r="H3" s="10" t="s">
        <v>268</v>
      </c>
      <c r="I3" s="5" t="s">
        <v>42</v>
      </c>
      <c r="J3" s="5" t="s">
        <v>224</v>
      </c>
      <c r="K3" s="5" t="s">
        <v>236</v>
      </c>
      <c r="M3" s="4">
        <v>8.3000000000000007</v>
      </c>
      <c r="N3" s="4">
        <v>97</v>
      </c>
      <c r="O3" s="23">
        <f t="shared" si="0"/>
        <v>9</v>
      </c>
      <c r="P3" s="23">
        <f t="shared" si="1"/>
        <v>9.206666666666667</v>
      </c>
      <c r="Q3" s="25" t="s">
        <v>609</v>
      </c>
    </row>
    <row r="4" spans="1:18" x14ac:dyDescent="0.25">
      <c r="A4" s="4">
        <f t="shared" si="2"/>
        <v>3</v>
      </c>
      <c r="B4" s="4" t="s">
        <v>9</v>
      </c>
      <c r="C4" s="4">
        <v>9.5399999999999991</v>
      </c>
      <c r="D4" s="4">
        <v>2022</v>
      </c>
      <c r="E4" s="5" t="s">
        <v>10</v>
      </c>
      <c r="F4" s="5" t="s">
        <v>31</v>
      </c>
      <c r="G4" s="5" t="s">
        <v>11</v>
      </c>
      <c r="H4" s="5" t="s">
        <v>421</v>
      </c>
      <c r="I4" s="5" t="s">
        <v>40</v>
      </c>
      <c r="J4" s="5" t="s">
        <v>223</v>
      </c>
      <c r="K4" s="5" t="s">
        <v>224</v>
      </c>
      <c r="L4" s="5" t="s">
        <v>241</v>
      </c>
      <c r="M4" s="4">
        <v>8.3000000000000007</v>
      </c>
      <c r="N4" s="4">
        <v>96</v>
      </c>
      <c r="O4" s="23">
        <f t="shared" si="0"/>
        <v>8.9499999999999993</v>
      </c>
      <c r="P4" s="23">
        <f t="shared" si="1"/>
        <v>9.1466666666666665</v>
      </c>
      <c r="Q4" s="10">
        <v>3</v>
      </c>
    </row>
    <row r="5" spans="1:18" x14ac:dyDescent="0.25">
      <c r="A5" s="4">
        <f t="shared" si="2"/>
        <v>4</v>
      </c>
      <c r="B5" s="4" t="s">
        <v>382</v>
      </c>
      <c r="C5" s="4">
        <v>9.4600000000000009</v>
      </c>
      <c r="D5" s="4">
        <v>2014</v>
      </c>
      <c r="E5" s="10" t="s">
        <v>19</v>
      </c>
      <c r="F5" s="10" t="s">
        <v>383</v>
      </c>
      <c r="G5" s="10" t="s">
        <v>73</v>
      </c>
      <c r="H5" s="10" t="s">
        <v>384</v>
      </c>
      <c r="I5" s="10" t="s">
        <v>43</v>
      </c>
      <c r="J5" t="s">
        <v>238</v>
      </c>
      <c r="K5" t="s">
        <v>224</v>
      </c>
      <c r="L5" s="10" t="s">
        <v>237</v>
      </c>
      <c r="M5" s="4">
        <v>8.6999999999999993</v>
      </c>
      <c r="N5" s="4">
        <v>73</v>
      </c>
      <c r="O5" s="23">
        <f t="shared" si="0"/>
        <v>8</v>
      </c>
      <c r="P5" s="23">
        <f t="shared" si="1"/>
        <v>8.4866666666666664</v>
      </c>
      <c r="Q5" s="26">
        <v>9.5399999999999991</v>
      </c>
    </row>
    <row r="6" spans="1:18" x14ac:dyDescent="0.25">
      <c r="A6" s="4">
        <f t="shared" si="2"/>
        <v>5</v>
      </c>
      <c r="B6" s="4" t="s">
        <v>26</v>
      </c>
      <c r="C6" s="4">
        <v>9.43</v>
      </c>
      <c r="D6" s="4">
        <v>2006</v>
      </c>
      <c r="E6" s="5" t="s">
        <v>16</v>
      </c>
      <c r="F6" s="5" t="s">
        <v>23</v>
      </c>
      <c r="G6" s="5" t="s">
        <v>28</v>
      </c>
      <c r="H6" s="5" t="s">
        <v>27</v>
      </c>
      <c r="I6" s="5" t="s">
        <v>39</v>
      </c>
      <c r="J6" s="5" t="s">
        <v>230</v>
      </c>
      <c r="K6" s="5" t="s">
        <v>224</v>
      </c>
      <c r="L6" s="5" t="s">
        <v>232</v>
      </c>
      <c r="M6" s="4">
        <v>8.5</v>
      </c>
      <c r="N6" s="4">
        <v>91</v>
      </c>
      <c r="O6" s="23">
        <f t="shared" si="0"/>
        <v>8.8000000000000007</v>
      </c>
      <c r="P6" s="23">
        <f t="shared" si="1"/>
        <v>9.01</v>
      </c>
      <c r="Q6" s="27" t="s">
        <v>9</v>
      </c>
    </row>
    <row r="7" spans="1:18" x14ac:dyDescent="0.25">
      <c r="A7" s="4">
        <f t="shared" si="2"/>
        <v>6</v>
      </c>
      <c r="B7" s="4" t="s">
        <v>15</v>
      </c>
      <c r="C7" s="4">
        <v>9.3699999999999992</v>
      </c>
      <c r="D7" s="4">
        <v>2013</v>
      </c>
      <c r="E7" s="5" t="s">
        <v>16</v>
      </c>
      <c r="F7" s="5" t="s">
        <v>265</v>
      </c>
      <c r="G7" s="5" t="s">
        <v>19</v>
      </c>
      <c r="H7" s="5" t="s">
        <v>17</v>
      </c>
      <c r="I7" s="5" t="s">
        <v>39</v>
      </c>
      <c r="J7" s="5" t="s">
        <v>230</v>
      </c>
      <c r="K7" s="5" t="s">
        <v>234</v>
      </c>
      <c r="L7" s="5" t="s">
        <v>224</v>
      </c>
      <c r="M7" s="4">
        <v>8.1999999999999993</v>
      </c>
      <c r="N7" s="4">
        <v>80</v>
      </c>
      <c r="O7" s="23">
        <f t="shared" si="0"/>
        <v>8.1</v>
      </c>
      <c r="P7" s="23">
        <f t="shared" si="1"/>
        <v>8.5233333333333334</v>
      </c>
      <c r="Q7" s="10">
        <v>27</v>
      </c>
    </row>
    <row r="8" spans="1:18" x14ac:dyDescent="0.25">
      <c r="A8" s="4">
        <f t="shared" si="2"/>
        <v>7</v>
      </c>
      <c r="B8" s="4" t="s">
        <v>64</v>
      </c>
      <c r="C8" s="4">
        <v>9.35</v>
      </c>
      <c r="D8" s="4">
        <v>1994</v>
      </c>
      <c r="E8" s="5" t="s">
        <v>65</v>
      </c>
      <c r="F8" s="5" t="s">
        <v>66</v>
      </c>
      <c r="G8" s="5" t="s">
        <v>67</v>
      </c>
      <c r="H8" s="5" t="s">
        <v>278</v>
      </c>
      <c r="I8" s="5" t="s">
        <v>68</v>
      </c>
      <c r="J8" s="5" t="s">
        <v>230</v>
      </c>
      <c r="K8" s="5" t="s">
        <v>224</v>
      </c>
      <c r="L8" s="5" t="s">
        <v>727</v>
      </c>
      <c r="M8" s="4">
        <v>8.9</v>
      </c>
      <c r="N8" s="4">
        <v>92</v>
      </c>
      <c r="O8" s="23">
        <f t="shared" si="0"/>
        <v>9.0500000000000007</v>
      </c>
      <c r="P8" s="23">
        <f t="shared" si="1"/>
        <v>9.15</v>
      </c>
      <c r="Q8" s="26">
        <v>8.92</v>
      </c>
    </row>
    <row r="9" spans="1:18" x14ac:dyDescent="0.25">
      <c r="A9" s="4">
        <f t="shared" si="2"/>
        <v>8</v>
      </c>
      <c r="B9" s="4" t="s">
        <v>444</v>
      </c>
      <c r="C9" s="4">
        <v>9.2899999999999991</v>
      </c>
      <c r="D9" s="4">
        <v>2014</v>
      </c>
      <c r="E9" s="10" t="s">
        <v>163</v>
      </c>
      <c r="F9" s="10" t="s">
        <v>445</v>
      </c>
      <c r="G9" s="10" t="s">
        <v>446</v>
      </c>
      <c r="H9" s="10" t="s">
        <v>447</v>
      </c>
      <c r="I9" s="10" t="s">
        <v>448</v>
      </c>
      <c r="J9" s="10" t="s">
        <v>241</v>
      </c>
      <c r="K9" s="5" t="s">
        <v>223</v>
      </c>
      <c r="L9" s="10" t="s">
        <v>235</v>
      </c>
      <c r="M9" s="4">
        <v>7.3</v>
      </c>
      <c r="N9" s="4">
        <v>72</v>
      </c>
      <c r="O9" s="23">
        <f t="shared" si="0"/>
        <v>7.25</v>
      </c>
      <c r="P9" s="23">
        <f t="shared" si="1"/>
        <v>7.93</v>
      </c>
      <c r="Q9" s="27" t="s">
        <v>573</v>
      </c>
    </row>
    <row r="10" spans="1:18" x14ac:dyDescent="0.25">
      <c r="A10" s="4">
        <f t="shared" si="2"/>
        <v>9</v>
      </c>
      <c r="B10" s="4" t="s">
        <v>69</v>
      </c>
      <c r="C10" s="4">
        <v>9.27</v>
      </c>
      <c r="D10" s="4">
        <v>1998</v>
      </c>
      <c r="E10" s="5" t="s">
        <v>70</v>
      </c>
      <c r="F10" s="5" t="s">
        <v>23</v>
      </c>
      <c r="G10" s="5" t="s">
        <v>279</v>
      </c>
      <c r="H10" s="5" t="s">
        <v>280</v>
      </c>
      <c r="I10" s="5" t="s">
        <v>71</v>
      </c>
      <c r="J10" s="5" t="s">
        <v>241</v>
      </c>
      <c r="K10" s="5" t="s">
        <v>224</v>
      </c>
      <c r="L10" s="5" t="s">
        <v>725</v>
      </c>
      <c r="M10" s="4">
        <v>8.6</v>
      </c>
      <c r="N10" s="4">
        <v>94</v>
      </c>
      <c r="O10" s="23">
        <f t="shared" si="0"/>
        <v>9</v>
      </c>
      <c r="P10" s="23">
        <f t="shared" si="1"/>
        <v>9.0899999999999981</v>
      </c>
      <c r="Q10" s="10">
        <v>35</v>
      </c>
    </row>
    <row r="11" spans="1:18" x14ac:dyDescent="0.25">
      <c r="A11" s="4">
        <f t="shared" si="2"/>
        <v>10</v>
      </c>
      <c r="B11" s="4" t="s">
        <v>500</v>
      </c>
      <c r="C11" s="4">
        <v>9.25</v>
      </c>
      <c r="D11" s="4">
        <v>2014</v>
      </c>
      <c r="E11" s="5" t="s">
        <v>501</v>
      </c>
      <c r="F11" s="10" t="s">
        <v>502</v>
      </c>
      <c r="G11" s="10" t="s">
        <v>503</v>
      </c>
      <c r="H11" s="10" t="s">
        <v>504</v>
      </c>
      <c r="I11" s="10" t="s">
        <v>505</v>
      </c>
      <c r="J11" s="10" t="s">
        <v>241</v>
      </c>
      <c r="K11" s="10" t="s">
        <v>232</v>
      </c>
      <c r="L11" s="10" t="s">
        <v>224</v>
      </c>
      <c r="M11" s="4">
        <v>8</v>
      </c>
      <c r="N11" s="4">
        <v>90</v>
      </c>
      <c r="O11" s="23">
        <f t="shared" si="0"/>
        <v>8.5</v>
      </c>
      <c r="P11" s="23">
        <f t="shared" si="1"/>
        <v>8.75</v>
      </c>
      <c r="Q11" s="26">
        <v>8.82</v>
      </c>
    </row>
    <row r="12" spans="1:18" x14ac:dyDescent="0.25">
      <c r="A12" s="4">
        <f t="shared" si="2"/>
        <v>11</v>
      </c>
      <c r="B12" s="4" t="s">
        <v>703</v>
      </c>
      <c r="C12" s="4">
        <v>9.24</v>
      </c>
      <c r="D12" s="4">
        <v>2000</v>
      </c>
      <c r="E12" s="10" t="s">
        <v>133</v>
      </c>
      <c r="F12" s="10" t="s">
        <v>704</v>
      </c>
      <c r="G12" s="10" t="s">
        <v>705</v>
      </c>
      <c r="H12" s="10" t="s">
        <v>706</v>
      </c>
      <c r="J12" s="10" t="s">
        <v>225</v>
      </c>
      <c r="K12" s="10" t="s">
        <v>224</v>
      </c>
      <c r="L12" t="s">
        <v>234</v>
      </c>
      <c r="M12" s="4">
        <v>7.8</v>
      </c>
      <c r="N12" s="4">
        <v>71</v>
      </c>
      <c r="O12" s="23">
        <f t="shared" si="0"/>
        <v>7.4499999999999993</v>
      </c>
      <c r="P12" s="23">
        <f t="shared" si="1"/>
        <v>8.0466666666666669</v>
      </c>
      <c r="Q12" s="27" t="s">
        <v>599</v>
      </c>
    </row>
    <row r="13" spans="1:18" x14ac:dyDescent="0.25">
      <c r="A13" s="4">
        <f t="shared" si="2"/>
        <v>12</v>
      </c>
      <c r="B13" s="4" t="s">
        <v>254</v>
      </c>
      <c r="C13" s="4">
        <v>9.23</v>
      </c>
      <c r="D13" s="4">
        <v>2004</v>
      </c>
      <c r="E13" s="5" t="s">
        <v>141</v>
      </c>
      <c r="F13" s="10" t="s">
        <v>255</v>
      </c>
      <c r="G13" s="10" t="s">
        <v>256</v>
      </c>
      <c r="H13" s="10" t="s">
        <v>257</v>
      </c>
      <c r="I13" s="10" t="s">
        <v>258</v>
      </c>
      <c r="J13" s="10" t="s">
        <v>225</v>
      </c>
      <c r="K13" s="10" t="s">
        <v>235</v>
      </c>
      <c r="L13" s="10" t="s">
        <v>224</v>
      </c>
      <c r="M13" s="4">
        <v>7.4</v>
      </c>
      <c r="N13" s="4">
        <v>81</v>
      </c>
      <c r="O13" s="23">
        <f t="shared" si="0"/>
        <v>7.75</v>
      </c>
      <c r="P13" s="23">
        <f t="shared" si="1"/>
        <v>8.2433333333333341</v>
      </c>
      <c r="Q13" s="10">
        <v>40</v>
      </c>
    </row>
    <row r="14" spans="1:18" x14ac:dyDescent="0.25">
      <c r="A14" s="4">
        <f t="shared" si="2"/>
        <v>13</v>
      </c>
      <c r="B14" s="4" t="s">
        <v>652</v>
      </c>
      <c r="C14" s="4">
        <v>9.17</v>
      </c>
      <c r="D14" s="4">
        <v>2013</v>
      </c>
      <c r="E14" s="5" t="s">
        <v>28</v>
      </c>
      <c r="F14" s="10" t="s">
        <v>653</v>
      </c>
      <c r="G14" s="10" t="s">
        <v>630</v>
      </c>
      <c r="H14" s="10" t="s">
        <v>654</v>
      </c>
      <c r="I14" s="10" t="s">
        <v>371</v>
      </c>
      <c r="J14" s="10" t="s">
        <v>241</v>
      </c>
      <c r="K14" s="10" t="s">
        <v>235</v>
      </c>
      <c r="L14" t="s">
        <v>224</v>
      </c>
      <c r="M14" s="4">
        <v>7.5</v>
      </c>
      <c r="N14" s="4">
        <v>75</v>
      </c>
      <c r="O14" s="23">
        <f t="shared" si="0"/>
        <v>7.5</v>
      </c>
      <c r="P14" s="23">
        <f t="shared" si="1"/>
        <v>8.0566666666666666</v>
      </c>
      <c r="Q14" s="26">
        <v>8.7799999999999994</v>
      </c>
    </row>
    <row r="15" spans="1:18" x14ac:dyDescent="0.25">
      <c r="A15" s="4">
        <f t="shared" si="2"/>
        <v>14</v>
      </c>
      <c r="B15" s="4" t="s">
        <v>506</v>
      </c>
      <c r="C15" s="4">
        <v>9.14</v>
      </c>
      <c r="D15" s="4">
        <v>1983</v>
      </c>
      <c r="E15" s="10" t="s">
        <v>46</v>
      </c>
      <c r="F15" s="10" t="s">
        <v>512</v>
      </c>
      <c r="G15" s="10" t="s">
        <v>513</v>
      </c>
      <c r="H15" s="10" t="s">
        <v>495</v>
      </c>
      <c r="I15" s="10" t="s">
        <v>49</v>
      </c>
      <c r="J15" s="10" t="s">
        <v>230</v>
      </c>
      <c r="K15" s="10" t="s">
        <v>224</v>
      </c>
      <c r="L15" s="10" t="s">
        <v>727</v>
      </c>
      <c r="M15" s="4">
        <v>8.3000000000000007</v>
      </c>
      <c r="N15" s="4">
        <v>79</v>
      </c>
      <c r="O15" s="23">
        <f t="shared" si="0"/>
        <v>8.1000000000000014</v>
      </c>
      <c r="P15" s="23">
        <f t="shared" si="1"/>
        <v>8.4466666666666672</v>
      </c>
      <c r="Q15" s="27" t="s">
        <v>707</v>
      </c>
    </row>
    <row r="16" spans="1:18" x14ac:dyDescent="0.25">
      <c r="A16" s="4">
        <f t="shared" si="2"/>
        <v>15</v>
      </c>
      <c r="B16" s="4" t="s">
        <v>33</v>
      </c>
      <c r="C16" s="4">
        <v>9.1300000000000008</v>
      </c>
      <c r="D16" s="4">
        <v>1990</v>
      </c>
      <c r="E16" s="5" t="s">
        <v>34</v>
      </c>
      <c r="F16" s="5" t="s">
        <v>35</v>
      </c>
      <c r="G16" s="5" t="s">
        <v>36</v>
      </c>
      <c r="H16" s="5" t="s">
        <v>269</v>
      </c>
      <c r="I16" s="5" t="s">
        <v>39</v>
      </c>
      <c r="J16" s="5" t="s">
        <v>230</v>
      </c>
      <c r="K16" s="5" t="s">
        <v>224</v>
      </c>
      <c r="L16" s="5" t="s">
        <v>727</v>
      </c>
      <c r="M16" s="4">
        <v>8.6999999999999993</v>
      </c>
      <c r="N16" s="4">
        <v>96</v>
      </c>
      <c r="O16" s="23">
        <f t="shared" si="0"/>
        <v>9.1499999999999986</v>
      </c>
      <c r="P16" s="23">
        <f t="shared" si="1"/>
        <v>9.1433333333333326</v>
      </c>
      <c r="Q16" s="10">
        <v>47</v>
      </c>
    </row>
    <row r="17" spans="1:17" x14ac:dyDescent="0.25">
      <c r="A17" s="4">
        <f t="shared" si="2"/>
        <v>16</v>
      </c>
      <c r="B17" s="4" t="s">
        <v>426</v>
      </c>
      <c r="C17" s="4">
        <v>9.1199999999999992</v>
      </c>
      <c r="D17" s="4">
        <v>2019</v>
      </c>
      <c r="E17" s="10" t="s">
        <v>23</v>
      </c>
      <c r="F17" s="10" t="s">
        <v>137</v>
      </c>
      <c r="G17" s="11" t="s">
        <v>427</v>
      </c>
      <c r="H17" s="11" t="s">
        <v>428</v>
      </c>
      <c r="I17" s="11" t="s">
        <v>429</v>
      </c>
      <c r="J17" s="10" t="s">
        <v>702</v>
      </c>
      <c r="K17" s="10" t="s">
        <v>224</v>
      </c>
      <c r="L17" s="11" t="s">
        <v>235</v>
      </c>
      <c r="M17" s="4">
        <v>8.1</v>
      </c>
      <c r="N17" s="4">
        <v>92</v>
      </c>
      <c r="O17" s="23">
        <f t="shared" si="0"/>
        <v>8.6499999999999986</v>
      </c>
      <c r="P17" s="23">
        <f t="shared" si="1"/>
        <v>8.8066666666666666</v>
      </c>
      <c r="Q17" s="26">
        <v>8.6999999999999993</v>
      </c>
    </row>
    <row r="18" spans="1:17" x14ac:dyDescent="0.25">
      <c r="A18" s="4">
        <f t="shared" si="2"/>
        <v>17</v>
      </c>
      <c r="B18" s="4" t="s">
        <v>12</v>
      </c>
      <c r="C18" s="4">
        <v>9.11</v>
      </c>
      <c r="D18" s="4">
        <v>2006</v>
      </c>
      <c r="E18" s="5" t="s">
        <v>13</v>
      </c>
      <c r="F18" s="5" t="s">
        <v>14</v>
      </c>
      <c r="G18" s="5" t="s">
        <v>266</v>
      </c>
      <c r="H18" s="5" t="s">
        <v>267</v>
      </c>
      <c r="I18" s="5" t="s">
        <v>41</v>
      </c>
      <c r="J18" s="5" t="s">
        <v>234</v>
      </c>
      <c r="K18" s="5" t="s">
        <v>702</v>
      </c>
      <c r="M18" s="4">
        <v>6.6</v>
      </c>
      <c r="N18" s="4">
        <v>71</v>
      </c>
      <c r="O18" s="23">
        <f t="shared" si="0"/>
        <v>6.85</v>
      </c>
      <c r="P18" s="23">
        <f t="shared" si="1"/>
        <v>7.6033333333333326</v>
      </c>
      <c r="Q18" s="27" t="s">
        <v>574</v>
      </c>
    </row>
    <row r="19" spans="1:17" x14ac:dyDescent="0.25">
      <c r="A19" s="4">
        <f t="shared" si="2"/>
        <v>18</v>
      </c>
      <c r="B19" s="4" t="s">
        <v>62</v>
      </c>
      <c r="C19" s="4">
        <v>9.08</v>
      </c>
      <c r="D19" s="4">
        <v>2010</v>
      </c>
      <c r="E19" s="5" t="s">
        <v>13</v>
      </c>
      <c r="F19" s="5" t="s">
        <v>28</v>
      </c>
      <c r="G19" s="5" t="s">
        <v>63</v>
      </c>
      <c r="H19" s="5" t="s">
        <v>277</v>
      </c>
      <c r="I19" s="5" t="s">
        <v>41</v>
      </c>
      <c r="J19" s="5" t="s">
        <v>234</v>
      </c>
      <c r="K19" s="5" t="s">
        <v>232</v>
      </c>
      <c r="L19" s="5" t="s">
        <v>230</v>
      </c>
      <c r="M19" s="4">
        <v>6.6</v>
      </c>
      <c r="N19" s="4">
        <v>79</v>
      </c>
      <c r="O19" s="23">
        <f t="shared" si="0"/>
        <v>7.25</v>
      </c>
      <c r="P19" s="23">
        <f t="shared" si="1"/>
        <v>7.8599999999999994</v>
      </c>
      <c r="Q19" s="10">
        <v>61</v>
      </c>
    </row>
    <row r="20" spans="1:17" x14ac:dyDescent="0.25">
      <c r="A20" s="4">
        <f t="shared" si="2"/>
        <v>19</v>
      </c>
      <c r="B20" s="4" t="s">
        <v>8</v>
      </c>
      <c r="C20" s="4">
        <v>9.0399999999999991</v>
      </c>
      <c r="D20" s="4">
        <v>1986</v>
      </c>
      <c r="E20" s="5" t="s">
        <v>10</v>
      </c>
      <c r="F20" s="5" t="s">
        <v>11</v>
      </c>
      <c r="G20" s="5" t="s">
        <v>272</v>
      </c>
      <c r="H20" s="5" t="s">
        <v>32</v>
      </c>
      <c r="I20" s="5" t="s">
        <v>44</v>
      </c>
      <c r="J20" s="5" t="s">
        <v>223</v>
      </c>
      <c r="K20" s="5" t="s">
        <v>224</v>
      </c>
      <c r="L20" s="5" t="s">
        <v>241</v>
      </c>
      <c r="M20" s="4">
        <v>6.9</v>
      </c>
      <c r="N20" s="4">
        <v>58</v>
      </c>
      <c r="O20" s="23">
        <f t="shared" si="0"/>
        <v>6.35</v>
      </c>
      <c r="P20" s="23">
        <f t="shared" si="1"/>
        <v>7.2466666666666661</v>
      </c>
      <c r="Q20" s="26">
        <v>8.52</v>
      </c>
    </row>
    <row r="21" spans="1:17" x14ac:dyDescent="0.25">
      <c r="A21" s="4">
        <f t="shared" si="2"/>
        <v>20</v>
      </c>
      <c r="B21" s="4" t="s">
        <v>533</v>
      </c>
      <c r="C21" s="4">
        <v>9.01</v>
      </c>
      <c r="D21" s="4">
        <v>1972</v>
      </c>
      <c r="E21" s="10" t="s">
        <v>534</v>
      </c>
      <c r="F21" s="10" t="s">
        <v>46</v>
      </c>
      <c r="G21" s="10" t="s">
        <v>535</v>
      </c>
      <c r="H21" s="10" t="s">
        <v>526</v>
      </c>
      <c r="I21" s="10" t="s">
        <v>536</v>
      </c>
      <c r="J21" s="10" t="s">
        <v>230</v>
      </c>
      <c r="K21" s="10" t="s">
        <v>224</v>
      </c>
      <c r="L21" s="10" t="s">
        <v>727</v>
      </c>
      <c r="M21" s="4">
        <v>9.1999999999999993</v>
      </c>
      <c r="N21" s="4">
        <v>97</v>
      </c>
      <c r="O21" s="23">
        <f t="shared" si="0"/>
        <v>9.4499999999999993</v>
      </c>
      <c r="P21" s="23">
        <f t="shared" si="1"/>
        <v>9.3033333333333328</v>
      </c>
      <c r="Q21" s="27" t="s">
        <v>190</v>
      </c>
    </row>
    <row r="22" spans="1:17" x14ac:dyDescent="0.25">
      <c r="A22" s="4">
        <f t="shared" si="2"/>
        <v>21</v>
      </c>
      <c r="B22" s="4" t="s">
        <v>559</v>
      </c>
      <c r="C22" s="4">
        <v>8.98</v>
      </c>
      <c r="D22" s="4">
        <v>2011</v>
      </c>
      <c r="E22" s="5" t="s">
        <v>59</v>
      </c>
      <c r="F22" s="10" t="s">
        <v>17</v>
      </c>
      <c r="G22" s="10" t="s">
        <v>560</v>
      </c>
      <c r="H22" s="10" t="s">
        <v>561</v>
      </c>
      <c r="I22" s="10" t="s">
        <v>562</v>
      </c>
      <c r="J22" s="10" t="s">
        <v>225</v>
      </c>
      <c r="K22" s="10" t="s">
        <v>224</v>
      </c>
      <c r="L22" s="10" t="s">
        <v>235</v>
      </c>
      <c r="M22" s="4">
        <v>7.6</v>
      </c>
      <c r="N22" s="4">
        <v>94</v>
      </c>
      <c r="O22" s="23">
        <f t="shared" si="0"/>
        <v>8.5</v>
      </c>
      <c r="P22" s="23">
        <f t="shared" si="1"/>
        <v>8.6599999999999984</v>
      </c>
      <c r="Q22" s="10">
        <v>78</v>
      </c>
    </row>
    <row r="23" spans="1:17" x14ac:dyDescent="0.25">
      <c r="A23" s="4">
        <f t="shared" si="2"/>
        <v>22</v>
      </c>
      <c r="B23" s="4" t="s">
        <v>390</v>
      </c>
      <c r="C23" s="4">
        <v>8.9700000000000006</v>
      </c>
      <c r="D23" s="4">
        <v>1992</v>
      </c>
      <c r="E23" s="5" t="s">
        <v>10</v>
      </c>
      <c r="F23" s="10" t="s">
        <v>27</v>
      </c>
      <c r="G23" s="10" t="s">
        <v>391</v>
      </c>
      <c r="H23" s="10" t="s">
        <v>392</v>
      </c>
      <c r="I23" s="10" t="s">
        <v>393</v>
      </c>
      <c r="J23" s="10" t="s">
        <v>224</v>
      </c>
      <c r="K23" s="10" t="s">
        <v>232</v>
      </c>
      <c r="L23" s="10" t="s">
        <v>728</v>
      </c>
      <c r="M23" s="4">
        <v>7.7</v>
      </c>
      <c r="N23" s="4">
        <v>84</v>
      </c>
      <c r="O23" s="23">
        <f t="shared" si="0"/>
        <v>8.0500000000000007</v>
      </c>
      <c r="P23" s="23">
        <f t="shared" si="1"/>
        <v>8.3566666666666674</v>
      </c>
      <c r="Q23" s="26">
        <v>8.15</v>
      </c>
    </row>
    <row r="24" spans="1:17" x14ac:dyDescent="0.25">
      <c r="A24" s="4">
        <f t="shared" si="2"/>
        <v>23</v>
      </c>
      <c r="B24" s="4" t="s">
        <v>83</v>
      </c>
      <c r="C24" s="4">
        <v>8.9600000000000009</v>
      </c>
      <c r="D24" s="4">
        <v>2006</v>
      </c>
      <c r="E24" s="5" t="s">
        <v>84</v>
      </c>
      <c r="F24" s="10" t="s">
        <v>85</v>
      </c>
      <c r="G24" s="10" t="s">
        <v>312</v>
      </c>
      <c r="H24" s="10" t="s">
        <v>313</v>
      </c>
      <c r="I24" s="5" t="s">
        <v>86</v>
      </c>
      <c r="J24" s="10" t="s">
        <v>223</v>
      </c>
      <c r="K24" s="10" t="s">
        <v>232</v>
      </c>
      <c r="L24" s="10" t="s">
        <v>237</v>
      </c>
      <c r="M24" s="4">
        <v>8</v>
      </c>
      <c r="N24" s="4">
        <v>94</v>
      </c>
      <c r="O24" s="23">
        <f t="shared" si="0"/>
        <v>8.6999999999999993</v>
      </c>
      <c r="P24" s="23">
        <f t="shared" si="1"/>
        <v>8.7866666666666671</v>
      </c>
      <c r="Q24" s="27" t="s">
        <v>189</v>
      </c>
    </row>
    <row r="25" spans="1:17" x14ac:dyDescent="0.25">
      <c r="A25" s="4">
        <f t="shared" si="2"/>
        <v>24</v>
      </c>
      <c r="B25" s="4" t="s">
        <v>564</v>
      </c>
      <c r="C25" s="4">
        <v>8.9499999999999993</v>
      </c>
      <c r="D25" s="4">
        <v>1997</v>
      </c>
      <c r="E25" s="5" t="s">
        <v>565</v>
      </c>
      <c r="F25" s="10" t="s">
        <v>464</v>
      </c>
      <c r="G25" s="10" t="s">
        <v>60</v>
      </c>
      <c r="H25" s="10" t="s">
        <v>566</v>
      </c>
      <c r="I25" s="10" t="s">
        <v>567</v>
      </c>
      <c r="J25" s="10" t="s">
        <v>230</v>
      </c>
      <c r="K25" s="10" t="s">
        <v>224</v>
      </c>
      <c r="L25" s="10" t="s">
        <v>231</v>
      </c>
      <c r="M25" s="4">
        <v>8.1999999999999993</v>
      </c>
      <c r="N25" s="4">
        <v>99</v>
      </c>
      <c r="O25" s="23">
        <f t="shared" si="0"/>
        <v>9.0500000000000007</v>
      </c>
      <c r="P25" s="23">
        <f t="shared" si="1"/>
        <v>9.0166666666666657</v>
      </c>
      <c r="Q25" s="10">
        <v>112</v>
      </c>
    </row>
    <row r="26" spans="1:17" x14ac:dyDescent="0.25">
      <c r="A26" s="4">
        <f t="shared" si="2"/>
        <v>25</v>
      </c>
      <c r="B26" s="4" t="s">
        <v>56</v>
      </c>
      <c r="C26" s="4">
        <v>8.94</v>
      </c>
      <c r="D26" s="4">
        <v>1995</v>
      </c>
      <c r="E26" s="5" t="s">
        <v>58</v>
      </c>
      <c r="F26" s="5" t="s">
        <v>59</v>
      </c>
      <c r="G26" s="5" t="s">
        <v>60</v>
      </c>
      <c r="H26" s="5" t="s">
        <v>274</v>
      </c>
      <c r="I26" s="5" t="s">
        <v>61</v>
      </c>
      <c r="J26" s="5" t="s">
        <v>230</v>
      </c>
      <c r="K26" s="5" t="s">
        <v>224</v>
      </c>
      <c r="L26" s="5" t="s">
        <v>231</v>
      </c>
      <c r="M26" s="4">
        <v>8.6</v>
      </c>
      <c r="N26" s="4">
        <v>82</v>
      </c>
      <c r="O26" s="23">
        <f t="shared" si="0"/>
        <v>8.3999999999999986</v>
      </c>
      <c r="P26" s="23">
        <f t="shared" si="1"/>
        <v>8.58</v>
      </c>
      <c r="Q26" s="26">
        <v>7.24</v>
      </c>
    </row>
    <row r="27" spans="1:17" x14ac:dyDescent="0.25">
      <c r="A27" s="4">
        <f t="shared" si="2"/>
        <v>26</v>
      </c>
      <c r="B27" s="4" t="s">
        <v>577</v>
      </c>
      <c r="C27" s="4">
        <v>8.93</v>
      </c>
      <c r="D27" s="4">
        <v>2015</v>
      </c>
      <c r="E27" s="10" t="s">
        <v>10</v>
      </c>
      <c r="F27" s="10" t="s">
        <v>401</v>
      </c>
      <c r="G27" s="10" t="s">
        <v>291</v>
      </c>
      <c r="H27" s="10" t="s">
        <v>158</v>
      </c>
      <c r="I27" s="10" t="s">
        <v>402</v>
      </c>
      <c r="J27" s="10" t="s">
        <v>223</v>
      </c>
      <c r="K27" s="10" t="s">
        <v>232</v>
      </c>
      <c r="L27" s="10" t="s">
        <v>237</v>
      </c>
      <c r="M27" s="4">
        <v>7.4</v>
      </c>
      <c r="N27" s="4">
        <v>94</v>
      </c>
      <c r="O27" s="23">
        <f t="shared" si="0"/>
        <v>8.4</v>
      </c>
      <c r="P27" s="23">
        <f t="shared" si="1"/>
        <v>8.5766666666666662</v>
      </c>
      <c r="Q27" s="27" t="s">
        <v>605</v>
      </c>
    </row>
    <row r="28" spans="1:17" x14ac:dyDescent="0.25">
      <c r="A28" s="4">
        <f t="shared" si="2"/>
        <v>27</v>
      </c>
      <c r="B28" s="4" t="s">
        <v>573</v>
      </c>
      <c r="C28" s="4">
        <v>8.92</v>
      </c>
      <c r="D28" s="4">
        <v>2023</v>
      </c>
      <c r="E28" s="10" t="s">
        <v>10</v>
      </c>
      <c r="F28" s="10" t="s">
        <v>575</v>
      </c>
      <c r="G28" s="10" t="s">
        <v>291</v>
      </c>
      <c r="H28" s="10" t="s">
        <v>89</v>
      </c>
      <c r="I28" s="10" t="s">
        <v>402</v>
      </c>
      <c r="J28" s="10" t="s">
        <v>223</v>
      </c>
      <c r="K28" s="10" t="s">
        <v>232</v>
      </c>
      <c r="L28" s="10" t="s">
        <v>237</v>
      </c>
      <c r="M28" s="4">
        <v>7.7</v>
      </c>
      <c r="N28" s="4">
        <v>96</v>
      </c>
      <c r="O28" s="23">
        <f t="shared" si="0"/>
        <v>8.65</v>
      </c>
      <c r="P28" s="23">
        <f t="shared" si="1"/>
        <v>8.74</v>
      </c>
      <c r="Q28" s="10" t="s">
        <v>610</v>
      </c>
    </row>
    <row r="29" spans="1:17" x14ac:dyDescent="0.25">
      <c r="A29" s="4">
        <f t="shared" si="2"/>
        <v>28</v>
      </c>
      <c r="B29" s="4" t="s">
        <v>259</v>
      </c>
      <c r="C29" s="4">
        <v>8.91</v>
      </c>
      <c r="D29" s="4">
        <v>2014</v>
      </c>
      <c r="E29" s="5" t="s">
        <v>31</v>
      </c>
      <c r="F29" s="10" t="s">
        <v>260</v>
      </c>
      <c r="G29" s="10" t="s">
        <v>261</v>
      </c>
      <c r="H29" s="10" t="s">
        <v>262</v>
      </c>
      <c r="I29" s="10" t="s">
        <v>263</v>
      </c>
      <c r="J29" s="10" t="s">
        <v>264</v>
      </c>
      <c r="K29" s="10" t="s">
        <v>224</v>
      </c>
      <c r="M29" s="4">
        <v>8.5</v>
      </c>
      <c r="N29" s="4">
        <v>94</v>
      </c>
      <c r="O29" s="23">
        <f t="shared" si="0"/>
        <v>8.9499999999999993</v>
      </c>
      <c r="P29" s="23">
        <f t="shared" si="1"/>
        <v>8.9366666666666674</v>
      </c>
    </row>
    <row r="30" spans="1:17" x14ac:dyDescent="0.25">
      <c r="A30" s="4">
        <f t="shared" si="2"/>
        <v>29</v>
      </c>
      <c r="B30" s="4" t="s">
        <v>168</v>
      </c>
      <c r="C30" s="4">
        <v>8.89</v>
      </c>
      <c r="D30" s="4">
        <v>2005</v>
      </c>
      <c r="E30" s="10" t="s">
        <v>170</v>
      </c>
      <c r="F30" s="10" t="s">
        <v>99</v>
      </c>
      <c r="G30" s="10" t="s">
        <v>293</v>
      </c>
      <c r="H30" s="10" t="s">
        <v>294</v>
      </c>
      <c r="I30" s="10" t="s">
        <v>171</v>
      </c>
      <c r="J30" s="5" t="s">
        <v>234</v>
      </c>
      <c r="K30" s="5" t="s">
        <v>236</v>
      </c>
      <c r="L30" s="5"/>
      <c r="M30" s="4">
        <v>7</v>
      </c>
      <c r="N30" s="4">
        <v>75</v>
      </c>
      <c r="O30" s="23">
        <f t="shared" si="0"/>
        <v>7.25</v>
      </c>
      <c r="P30" s="23">
        <f t="shared" si="1"/>
        <v>7.7966666666666669</v>
      </c>
    </row>
    <row r="31" spans="1:17" x14ac:dyDescent="0.25">
      <c r="A31" s="4">
        <f t="shared" si="2"/>
        <v>30</v>
      </c>
      <c r="B31" s="4" t="s">
        <v>655</v>
      </c>
      <c r="C31" s="4">
        <v>8.8800000000000008</v>
      </c>
      <c r="D31" s="4">
        <v>2000</v>
      </c>
      <c r="E31" s="5" t="s">
        <v>565</v>
      </c>
      <c r="F31" s="10" t="s">
        <v>548</v>
      </c>
      <c r="G31" s="10" t="s">
        <v>656</v>
      </c>
      <c r="H31" s="10" t="s">
        <v>657</v>
      </c>
      <c r="I31" s="10" t="s">
        <v>551</v>
      </c>
      <c r="J31" s="10" t="s">
        <v>223</v>
      </c>
      <c r="K31" s="10" t="s">
        <v>237</v>
      </c>
      <c r="L31" s="10" t="s">
        <v>224</v>
      </c>
      <c r="M31" s="4">
        <v>8.5</v>
      </c>
      <c r="N31" s="4">
        <v>80</v>
      </c>
      <c r="O31" s="23">
        <f t="shared" si="0"/>
        <v>8.25</v>
      </c>
      <c r="P31" s="23">
        <f t="shared" si="1"/>
        <v>8.4600000000000009</v>
      </c>
    </row>
    <row r="32" spans="1:17" x14ac:dyDescent="0.25">
      <c r="A32" s="4">
        <f t="shared" si="2"/>
        <v>31</v>
      </c>
      <c r="B32" s="4" t="s">
        <v>525</v>
      </c>
      <c r="C32" s="4">
        <v>8.8699999999999992</v>
      </c>
      <c r="D32" s="4">
        <v>1990</v>
      </c>
      <c r="E32" s="5" t="s">
        <v>10</v>
      </c>
      <c r="F32" s="10" t="s">
        <v>526</v>
      </c>
      <c r="G32" s="10" t="s">
        <v>364</v>
      </c>
      <c r="H32" s="10" t="s">
        <v>527</v>
      </c>
      <c r="I32" s="10" t="s">
        <v>44</v>
      </c>
      <c r="J32" s="10" t="s">
        <v>702</v>
      </c>
      <c r="K32" s="10" t="s">
        <v>223</v>
      </c>
      <c r="L32" s="10" t="s">
        <v>224</v>
      </c>
      <c r="M32" s="4">
        <v>6.1</v>
      </c>
      <c r="N32" s="4">
        <v>37</v>
      </c>
      <c r="O32" s="23">
        <f t="shared" si="0"/>
        <v>4.9000000000000004</v>
      </c>
      <c r="P32" s="23">
        <f t="shared" si="1"/>
        <v>6.2233333333333327</v>
      </c>
    </row>
    <row r="33" spans="1:16" x14ac:dyDescent="0.25">
      <c r="A33" s="4">
        <f t="shared" si="2"/>
        <v>32</v>
      </c>
      <c r="B33" s="4" t="s">
        <v>612</v>
      </c>
      <c r="C33" s="4">
        <v>8.86</v>
      </c>
      <c r="D33" s="4">
        <v>1999</v>
      </c>
      <c r="E33" s="5" t="s">
        <v>59</v>
      </c>
      <c r="F33" s="10" t="s">
        <v>250</v>
      </c>
      <c r="G33" s="10" t="s">
        <v>613</v>
      </c>
      <c r="H33" s="10" t="s">
        <v>614</v>
      </c>
      <c r="I33" s="10" t="s">
        <v>61</v>
      </c>
      <c r="J33" s="10" t="s">
        <v>224</v>
      </c>
      <c r="M33" s="4">
        <v>8.8000000000000007</v>
      </c>
      <c r="N33" s="4">
        <v>80</v>
      </c>
      <c r="O33" s="23">
        <f t="shared" si="0"/>
        <v>8.4</v>
      </c>
      <c r="P33" s="23">
        <f t="shared" si="1"/>
        <v>8.5533333333333328</v>
      </c>
    </row>
    <row r="34" spans="1:16" x14ac:dyDescent="0.25">
      <c r="A34" s="4">
        <f t="shared" si="2"/>
        <v>33</v>
      </c>
      <c r="B34" s="4" t="s">
        <v>477</v>
      </c>
      <c r="C34" s="4">
        <v>8.84</v>
      </c>
      <c r="D34" s="4">
        <v>1995</v>
      </c>
      <c r="E34" s="5" t="s">
        <v>34</v>
      </c>
      <c r="F34" s="10" t="s">
        <v>36</v>
      </c>
      <c r="G34" s="10" t="s">
        <v>479</v>
      </c>
      <c r="H34" s="10" t="s">
        <v>480</v>
      </c>
      <c r="I34" s="10" t="s">
        <v>39</v>
      </c>
      <c r="J34" s="10" t="s">
        <v>230</v>
      </c>
      <c r="K34" s="10" t="s">
        <v>224</v>
      </c>
      <c r="L34" s="10" t="s">
        <v>727</v>
      </c>
      <c r="M34" s="4">
        <v>8.1999999999999993</v>
      </c>
      <c r="N34" s="4">
        <v>79</v>
      </c>
      <c r="O34" s="23">
        <f t="shared" ref="O34:O65" si="3">(M34+(N34/10))/2</f>
        <v>8.0500000000000007</v>
      </c>
      <c r="P34" s="23">
        <f t="shared" ref="P34:P65" si="4">(M34+C34+(N34/10))/3</f>
        <v>8.3133333333333326</v>
      </c>
    </row>
    <row r="35" spans="1:16" x14ac:dyDescent="0.25">
      <c r="A35" s="4">
        <f t="shared" ref="A35:A66" si="5">A34+1</f>
        <v>34</v>
      </c>
      <c r="B35" s="4" t="s">
        <v>45</v>
      </c>
      <c r="C35" s="4">
        <v>8.83</v>
      </c>
      <c r="D35" s="4">
        <v>1995</v>
      </c>
      <c r="E35" s="5" t="s">
        <v>34</v>
      </c>
      <c r="F35" s="5" t="s">
        <v>46</v>
      </c>
      <c r="G35" s="5" t="s">
        <v>11</v>
      </c>
      <c r="H35" s="5" t="s">
        <v>48</v>
      </c>
      <c r="I35" s="5" t="s">
        <v>47</v>
      </c>
      <c r="J35" s="5" t="s">
        <v>230</v>
      </c>
      <c r="K35" s="5" t="s">
        <v>224</v>
      </c>
      <c r="L35" s="5" t="s">
        <v>727</v>
      </c>
      <c r="M35" s="4">
        <v>8.3000000000000007</v>
      </c>
      <c r="N35" s="4">
        <v>88</v>
      </c>
      <c r="O35" s="23">
        <f t="shared" si="3"/>
        <v>8.5500000000000007</v>
      </c>
      <c r="P35" s="23">
        <f t="shared" si="4"/>
        <v>8.6433333333333344</v>
      </c>
    </row>
    <row r="36" spans="1:16" x14ac:dyDescent="0.25">
      <c r="A36" s="4">
        <f t="shared" si="5"/>
        <v>35</v>
      </c>
      <c r="B36" s="7" t="s">
        <v>599</v>
      </c>
      <c r="C36" s="7">
        <v>8.82</v>
      </c>
      <c r="D36" s="7">
        <v>2023</v>
      </c>
      <c r="E36" s="8" t="s">
        <v>600</v>
      </c>
      <c r="F36" s="11" t="s">
        <v>601</v>
      </c>
      <c r="G36" s="10" t="s">
        <v>602</v>
      </c>
      <c r="H36" s="10" t="s">
        <v>603</v>
      </c>
      <c r="I36" s="10" t="s">
        <v>604</v>
      </c>
      <c r="J36" t="s">
        <v>702</v>
      </c>
      <c r="K36" t="s">
        <v>237</v>
      </c>
      <c r="L36" t="s">
        <v>224</v>
      </c>
      <c r="M36" s="4">
        <v>7.2</v>
      </c>
      <c r="N36" s="4">
        <v>65</v>
      </c>
      <c r="O36" s="23">
        <f t="shared" si="3"/>
        <v>6.85</v>
      </c>
      <c r="P36" s="23">
        <f t="shared" si="4"/>
        <v>7.5066666666666668</v>
      </c>
    </row>
    <row r="37" spans="1:16" x14ac:dyDescent="0.25">
      <c r="A37" s="4">
        <f t="shared" si="5"/>
        <v>36</v>
      </c>
      <c r="B37" s="4" t="s">
        <v>576</v>
      </c>
      <c r="C37" s="4">
        <v>8.82</v>
      </c>
      <c r="D37" s="4">
        <v>2011</v>
      </c>
      <c r="E37" s="10" t="s">
        <v>10</v>
      </c>
      <c r="F37" s="10" t="s">
        <v>158</v>
      </c>
      <c r="G37" s="10" t="s">
        <v>291</v>
      </c>
      <c r="H37" s="10" t="s">
        <v>292</v>
      </c>
      <c r="I37" s="10" t="s">
        <v>159</v>
      </c>
      <c r="J37" s="5" t="s">
        <v>223</v>
      </c>
      <c r="K37" s="10" t="s">
        <v>232</v>
      </c>
      <c r="L37" s="10" t="s">
        <v>237</v>
      </c>
      <c r="M37" s="4">
        <v>7.4</v>
      </c>
      <c r="N37" s="4">
        <v>93</v>
      </c>
      <c r="O37" s="23">
        <f t="shared" si="3"/>
        <v>8.3500000000000014</v>
      </c>
      <c r="P37" s="23">
        <f t="shared" si="4"/>
        <v>8.5066666666666659</v>
      </c>
    </row>
    <row r="38" spans="1:16" x14ac:dyDescent="0.25">
      <c r="A38" s="4">
        <f t="shared" si="5"/>
        <v>37</v>
      </c>
      <c r="B38" s="4" t="s">
        <v>21</v>
      </c>
      <c r="C38" s="4">
        <v>8.81</v>
      </c>
      <c r="D38" s="4">
        <v>2010</v>
      </c>
      <c r="E38" s="5" t="s">
        <v>16</v>
      </c>
      <c r="F38" s="5" t="s">
        <v>281</v>
      </c>
      <c r="G38" s="5" t="s">
        <v>282</v>
      </c>
      <c r="H38" s="5" t="s">
        <v>283</v>
      </c>
      <c r="I38" s="5" t="s">
        <v>43</v>
      </c>
      <c r="J38" t="s">
        <v>223</v>
      </c>
      <c r="K38" s="10" t="s">
        <v>238</v>
      </c>
      <c r="L38" s="10" t="s">
        <v>237</v>
      </c>
      <c r="M38" s="4">
        <v>8.8000000000000007</v>
      </c>
      <c r="N38" s="4">
        <v>87</v>
      </c>
      <c r="O38" s="23">
        <f t="shared" si="3"/>
        <v>8.75</v>
      </c>
      <c r="P38" s="23">
        <f t="shared" si="4"/>
        <v>8.77</v>
      </c>
    </row>
    <row r="39" spans="1:16" x14ac:dyDescent="0.25">
      <c r="A39" s="4">
        <f t="shared" si="5"/>
        <v>38</v>
      </c>
      <c r="B39" s="4" t="s">
        <v>30</v>
      </c>
      <c r="C39" s="4">
        <v>8.8000000000000007</v>
      </c>
      <c r="D39" s="4">
        <v>2008</v>
      </c>
      <c r="E39" s="5" t="s">
        <v>13</v>
      </c>
      <c r="F39" s="5" t="s">
        <v>14</v>
      </c>
      <c r="G39" s="5" t="s">
        <v>289</v>
      </c>
      <c r="H39" s="5" t="s">
        <v>290</v>
      </c>
      <c r="I39" s="5" t="s">
        <v>41</v>
      </c>
      <c r="J39" s="5" t="s">
        <v>234</v>
      </c>
      <c r="M39" s="4">
        <v>6.9</v>
      </c>
      <c r="N39" s="4">
        <v>55</v>
      </c>
      <c r="O39" s="23">
        <f t="shared" si="3"/>
        <v>6.2</v>
      </c>
      <c r="P39" s="23">
        <f t="shared" si="4"/>
        <v>7.0666666666666673</v>
      </c>
    </row>
    <row r="40" spans="1:16" x14ac:dyDescent="0.25">
      <c r="A40" s="4">
        <f t="shared" si="5"/>
        <v>39</v>
      </c>
      <c r="B40" s="4" t="s">
        <v>721</v>
      </c>
      <c r="C40" s="4">
        <v>8.7899999999999991</v>
      </c>
      <c r="D40" s="4">
        <v>2014</v>
      </c>
      <c r="E40" s="10" t="s">
        <v>59</v>
      </c>
      <c r="F40" s="10" t="s">
        <v>722</v>
      </c>
      <c r="G40" s="10" t="s">
        <v>723</v>
      </c>
      <c r="H40" s="10" t="s">
        <v>440</v>
      </c>
      <c r="I40" s="10" t="s">
        <v>724</v>
      </c>
      <c r="J40" s="10" t="s">
        <v>241</v>
      </c>
      <c r="K40" s="10" t="s">
        <v>223</v>
      </c>
      <c r="L40" s="10" t="s">
        <v>224</v>
      </c>
      <c r="M40" s="4">
        <v>7.6</v>
      </c>
      <c r="N40" s="4">
        <v>76</v>
      </c>
      <c r="O40" s="23">
        <f t="shared" si="3"/>
        <v>7.6</v>
      </c>
      <c r="P40" s="23">
        <f t="shared" si="4"/>
        <v>7.996666666666667</v>
      </c>
    </row>
    <row r="41" spans="1:16" x14ac:dyDescent="0.25">
      <c r="A41" s="4">
        <f t="shared" si="5"/>
        <v>40</v>
      </c>
      <c r="B41" s="4" t="s">
        <v>707</v>
      </c>
      <c r="C41" s="4">
        <v>8.7799999999999994</v>
      </c>
      <c r="D41" s="4">
        <v>2024</v>
      </c>
      <c r="E41" s="10" t="s">
        <v>708</v>
      </c>
      <c r="F41" s="10" t="s">
        <v>421</v>
      </c>
      <c r="G41" s="10" t="s">
        <v>709</v>
      </c>
      <c r="H41" s="10" t="s">
        <v>712</v>
      </c>
      <c r="I41" s="10" t="s">
        <v>711</v>
      </c>
      <c r="J41" s="10" t="s">
        <v>223</v>
      </c>
      <c r="K41" s="10" t="s">
        <v>237</v>
      </c>
      <c r="L41" s="10" t="s">
        <v>232</v>
      </c>
      <c r="M41" s="4">
        <v>6.5</v>
      </c>
      <c r="N41" s="4">
        <v>75</v>
      </c>
      <c r="O41" s="23">
        <f t="shared" si="3"/>
        <v>7</v>
      </c>
      <c r="P41" s="23">
        <f t="shared" si="4"/>
        <v>7.5933333333333337</v>
      </c>
    </row>
    <row r="42" spans="1:16" x14ac:dyDescent="0.25">
      <c r="A42" s="4">
        <f t="shared" si="5"/>
        <v>41</v>
      </c>
      <c r="B42" s="4" t="s">
        <v>169</v>
      </c>
      <c r="C42" s="4">
        <v>8.76</v>
      </c>
      <c r="D42" s="4">
        <v>1992</v>
      </c>
      <c r="E42" s="10" t="s">
        <v>175</v>
      </c>
      <c r="F42" s="10" t="s">
        <v>178</v>
      </c>
      <c r="G42" s="10" t="s">
        <v>177</v>
      </c>
      <c r="H42" s="10" t="s">
        <v>176</v>
      </c>
      <c r="I42" s="10" t="s">
        <v>174</v>
      </c>
      <c r="J42" s="5" t="s">
        <v>225</v>
      </c>
      <c r="K42" s="5" t="s">
        <v>224</v>
      </c>
      <c r="L42" s="5" t="s">
        <v>240</v>
      </c>
      <c r="M42" s="4">
        <v>6.5</v>
      </c>
      <c r="N42" s="4">
        <v>23</v>
      </c>
      <c r="O42" s="23">
        <f t="shared" si="3"/>
        <v>4.4000000000000004</v>
      </c>
      <c r="P42" s="23">
        <f t="shared" si="4"/>
        <v>5.8533333333333326</v>
      </c>
    </row>
    <row r="43" spans="1:16" x14ac:dyDescent="0.25">
      <c r="A43" s="4">
        <f t="shared" si="5"/>
        <v>42</v>
      </c>
      <c r="B43" s="4" t="s">
        <v>160</v>
      </c>
      <c r="C43" s="4">
        <v>8.75</v>
      </c>
      <c r="D43" s="4">
        <v>1993</v>
      </c>
      <c r="E43" s="10" t="s">
        <v>296</v>
      </c>
      <c r="F43" s="10" t="s">
        <v>297</v>
      </c>
      <c r="G43" s="10" t="s">
        <v>298</v>
      </c>
      <c r="H43" s="10" t="s">
        <v>299</v>
      </c>
      <c r="I43" s="10" t="s">
        <v>161</v>
      </c>
      <c r="J43" s="5" t="s">
        <v>225</v>
      </c>
      <c r="K43" t="s">
        <v>224</v>
      </c>
      <c r="L43" s="10" t="s">
        <v>240</v>
      </c>
      <c r="M43" s="4">
        <v>7.8</v>
      </c>
      <c r="N43" s="4">
        <v>65</v>
      </c>
      <c r="O43" s="23">
        <f t="shared" si="3"/>
        <v>7.15</v>
      </c>
      <c r="P43" s="23">
        <f t="shared" si="4"/>
        <v>7.6833333333333336</v>
      </c>
    </row>
    <row r="44" spans="1:16" x14ac:dyDescent="0.25">
      <c r="A44" s="4">
        <f t="shared" si="5"/>
        <v>43</v>
      </c>
      <c r="B44" s="4" t="s">
        <v>162</v>
      </c>
      <c r="C44" s="4">
        <v>8.74</v>
      </c>
      <c r="D44" s="4">
        <v>2009</v>
      </c>
      <c r="E44" s="10" t="s">
        <v>163</v>
      </c>
      <c r="F44" s="10" t="s">
        <v>164</v>
      </c>
      <c r="G44" s="10" t="s">
        <v>166</v>
      </c>
      <c r="H44" s="10" t="s">
        <v>165</v>
      </c>
      <c r="I44" s="10" t="s">
        <v>167</v>
      </c>
      <c r="J44" s="10" t="s">
        <v>234</v>
      </c>
      <c r="M44" s="4">
        <v>7.7</v>
      </c>
      <c r="N44" s="4">
        <v>79</v>
      </c>
      <c r="O44" s="23">
        <f t="shared" si="3"/>
        <v>7.8000000000000007</v>
      </c>
      <c r="P44" s="23">
        <f t="shared" si="4"/>
        <v>8.1133333333333351</v>
      </c>
    </row>
    <row r="45" spans="1:16" x14ac:dyDescent="0.25">
      <c r="A45" s="4">
        <f t="shared" si="5"/>
        <v>44</v>
      </c>
      <c r="B45" s="4" t="s">
        <v>423</v>
      </c>
      <c r="C45" s="4">
        <v>8.73</v>
      </c>
      <c r="D45" s="4">
        <v>2018</v>
      </c>
      <c r="E45" s="5" t="s">
        <v>10</v>
      </c>
      <c r="F45" s="10" t="s">
        <v>401</v>
      </c>
      <c r="G45" s="10" t="s">
        <v>291</v>
      </c>
      <c r="H45" s="10" t="s">
        <v>425</v>
      </c>
      <c r="I45" s="10" t="s">
        <v>402</v>
      </c>
      <c r="J45" s="10" t="s">
        <v>223</v>
      </c>
      <c r="K45" s="10" t="s">
        <v>232</v>
      </c>
      <c r="L45" s="10" t="s">
        <v>237</v>
      </c>
      <c r="M45" s="4">
        <v>7.7</v>
      </c>
      <c r="N45" s="4">
        <v>97</v>
      </c>
      <c r="O45" s="23">
        <f t="shared" si="3"/>
        <v>8.6999999999999993</v>
      </c>
      <c r="P45" s="23">
        <f t="shared" si="4"/>
        <v>8.7099999999999991</v>
      </c>
    </row>
    <row r="46" spans="1:16" x14ac:dyDescent="0.25">
      <c r="A46" s="4">
        <f t="shared" si="5"/>
        <v>45</v>
      </c>
      <c r="B46" s="4" t="s">
        <v>385</v>
      </c>
      <c r="C46" s="4">
        <v>8.7200000000000006</v>
      </c>
      <c r="D46" s="4">
        <v>2007</v>
      </c>
      <c r="E46" s="10" t="s">
        <v>23</v>
      </c>
      <c r="F46" s="10" t="s">
        <v>386</v>
      </c>
      <c r="G46" s="10" t="s">
        <v>222</v>
      </c>
      <c r="H46" s="10" t="s">
        <v>387</v>
      </c>
      <c r="I46" s="10" t="s">
        <v>370</v>
      </c>
      <c r="J46" s="10" t="s">
        <v>223</v>
      </c>
      <c r="K46" s="10" t="s">
        <v>232</v>
      </c>
      <c r="L46" s="10" t="s">
        <v>237</v>
      </c>
      <c r="M46" s="4">
        <v>8</v>
      </c>
      <c r="N46" s="4">
        <v>92</v>
      </c>
      <c r="O46" s="23">
        <f t="shared" si="3"/>
        <v>8.6</v>
      </c>
      <c r="P46" s="23">
        <f t="shared" si="4"/>
        <v>8.6399999999999988</v>
      </c>
    </row>
    <row r="47" spans="1:16" x14ac:dyDescent="0.25">
      <c r="A47" s="4">
        <f t="shared" si="5"/>
        <v>46</v>
      </c>
      <c r="B47" s="4" t="s">
        <v>631</v>
      </c>
      <c r="C47" s="4">
        <v>8.7100000000000009</v>
      </c>
      <c r="D47" s="4">
        <v>2001</v>
      </c>
      <c r="E47" s="10" t="s">
        <v>632</v>
      </c>
      <c r="F47" s="10" t="s">
        <v>59</v>
      </c>
      <c r="G47" s="10" t="s">
        <v>23</v>
      </c>
      <c r="H47" s="10" t="s">
        <v>633</v>
      </c>
      <c r="I47" s="10" t="s">
        <v>634</v>
      </c>
      <c r="J47" s="10" t="s">
        <v>230</v>
      </c>
      <c r="K47" s="10" t="s">
        <v>232</v>
      </c>
      <c r="L47" s="10"/>
      <c r="M47" s="4">
        <v>7.7</v>
      </c>
      <c r="N47" s="4">
        <v>83</v>
      </c>
      <c r="O47" s="23">
        <f t="shared" si="3"/>
        <v>8</v>
      </c>
      <c r="P47" s="23">
        <f t="shared" si="4"/>
        <v>8.2366666666666664</v>
      </c>
    </row>
    <row r="48" spans="1:16" x14ac:dyDescent="0.25">
      <c r="A48" s="4">
        <f t="shared" si="5"/>
        <v>47</v>
      </c>
      <c r="B48" s="4" t="s">
        <v>574</v>
      </c>
      <c r="C48" s="4">
        <v>8.6999999999999993</v>
      </c>
      <c r="D48" s="4">
        <v>2023</v>
      </c>
      <c r="E48" s="5" t="s">
        <v>578</v>
      </c>
      <c r="F48" s="10" t="s">
        <v>23</v>
      </c>
      <c r="G48" s="10" t="s">
        <v>579</v>
      </c>
      <c r="H48" s="10" t="s">
        <v>554</v>
      </c>
      <c r="I48" s="10" t="s">
        <v>43</v>
      </c>
      <c r="J48" s="10" t="s">
        <v>235</v>
      </c>
      <c r="K48" s="10" t="s">
        <v>224</v>
      </c>
      <c r="L48" s="10" t="s">
        <v>242</v>
      </c>
      <c r="M48" s="4">
        <v>8.4</v>
      </c>
      <c r="N48" s="4">
        <v>93</v>
      </c>
      <c r="O48" s="23">
        <f t="shared" si="3"/>
        <v>8.8500000000000014</v>
      </c>
      <c r="P48" s="23">
        <f t="shared" si="4"/>
        <v>8.8000000000000007</v>
      </c>
    </row>
    <row r="49" spans="1:16" x14ac:dyDescent="0.25">
      <c r="A49" s="4">
        <f t="shared" si="5"/>
        <v>48</v>
      </c>
      <c r="B49" s="4" t="s">
        <v>115</v>
      </c>
      <c r="C49" s="4">
        <v>8.68</v>
      </c>
      <c r="D49" s="4">
        <v>1946</v>
      </c>
      <c r="E49" s="10" t="s">
        <v>325</v>
      </c>
      <c r="F49" s="10" t="s">
        <v>326</v>
      </c>
      <c r="G49" s="10" t="s">
        <v>327</v>
      </c>
      <c r="H49" s="10" t="s">
        <v>328</v>
      </c>
      <c r="I49" s="10" t="s">
        <v>116</v>
      </c>
      <c r="J49" t="s">
        <v>224</v>
      </c>
      <c r="K49" t="s">
        <v>236</v>
      </c>
      <c r="L49" s="10" t="s">
        <v>717</v>
      </c>
      <c r="M49" s="4">
        <v>8.6</v>
      </c>
      <c r="N49" s="4">
        <v>94</v>
      </c>
      <c r="O49" s="23">
        <f t="shared" si="3"/>
        <v>9</v>
      </c>
      <c r="P49" s="23">
        <f t="shared" si="4"/>
        <v>8.8933333333333326</v>
      </c>
    </row>
    <row r="50" spans="1:16" x14ac:dyDescent="0.25">
      <c r="A50" s="4">
        <f t="shared" si="5"/>
        <v>49</v>
      </c>
      <c r="B50" s="4" t="s">
        <v>72</v>
      </c>
      <c r="C50" s="4">
        <v>8.67</v>
      </c>
      <c r="D50" s="4">
        <v>2017</v>
      </c>
      <c r="E50" s="5" t="s">
        <v>73</v>
      </c>
      <c r="F50" s="5" t="s">
        <v>74</v>
      </c>
      <c r="G50" s="5" t="s">
        <v>286</v>
      </c>
      <c r="H50" s="5" t="s">
        <v>77</v>
      </c>
      <c r="I50" s="5" t="s">
        <v>75</v>
      </c>
      <c r="J50" s="5" t="s">
        <v>636</v>
      </c>
      <c r="K50" s="5" t="s">
        <v>230</v>
      </c>
      <c r="L50" s="5" t="s">
        <v>224</v>
      </c>
      <c r="M50" s="4">
        <v>7.4</v>
      </c>
      <c r="N50" s="4">
        <v>82</v>
      </c>
      <c r="O50" s="23">
        <f t="shared" si="3"/>
        <v>7.8</v>
      </c>
      <c r="P50" s="23">
        <f t="shared" si="4"/>
        <v>8.09</v>
      </c>
    </row>
    <row r="51" spans="1:16" x14ac:dyDescent="0.25">
      <c r="A51" s="4">
        <f t="shared" si="5"/>
        <v>50</v>
      </c>
      <c r="B51" s="4" t="s">
        <v>76</v>
      </c>
      <c r="C51" s="4">
        <v>8.65</v>
      </c>
      <c r="D51" s="4">
        <v>2007</v>
      </c>
      <c r="E51" s="5" t="s">
        <v>77</v>
      </c>
      <c r="F51" s="5" t="s">
        <v>17</v>
      </c>
      <c r="G51" s="5" t="s">
        <v>204</v>
      </c>
      <c r="H51" s="5" t="s">
        <v>422</v>
      </c>
      <c r="I51" s="5" t="s">
        <v>78</v>
      </c>
      <c r="J51" s="5" t="s">
        <v>234</v>
      </c>
      <c r="M51" s="4">
        <v>7.6</v>
      </c>
      <c r="N51" s="4">
        <v>88</v>
      </c>
      <c r="O51" s="23">
        <f t="shared" si="3"/>
        <v>8.1999999999999993</v>
      </c>
      <c r="P51" s="23">
        <f t="shared" si="4"/>
        <v>8.35</v>
      </c>
    </row>
    <row r="52" spans="1:16" x14ac:dyDescent="0.25">
      <c r="A52" s="4">
        <f t="shared" si="5"/>
        <v>51</v>
      </c>
      <c r="B52" s="4" t="s">
        <v>710</v>
      </c>
      <c r="C52" s="4">
        <v>8.64</v>
      </c>
      <c r="D52" s="4">
        <v>1998</v>
      </c>
      <c r="E52" s="5" t="s">
        <v>67</v>
      </c>
      <c r="F52" s="10" t="s">
        <v>713</v>
      </c>
      <c r="G52" s="10" t="s">
        <v>714</v>
      </c>
      <c r="H52" s="10" t="s">
        <v>715</v>
      </c>
      <c r="I52" s="10" t="s">
        <v>716</v>
      </c>
      <c r="J52" s="10" t="s">
        <v>223</v>
      </c>
      <c r="K52" s="10" t="s">
        <v>232</v>
      </c>
      <c r="L52" s="10" t="s">
        <v>717</v>
      </c>
      <c r="M52" s="4">
        <v>8.1999999999999993</v>
      </c>
      <c r="N52" s="4">
        <v>94</v>
      </c>
      <c r="O52" s="23">
        <f t="shared" si="3"/>
        <v>8.8000000000000007</v>
      </c>
      <c r="P52" s="23">
        <f t="shared" si="4"/>
        <v>8.7466666666666679</v>
      </c>
    </row>
    <row r="53" spans="1:16" x14ac:dyDescent="0.25">
      <c r="A53" s="4">
        <f t="shared" si="5"/>
        <v>52</v>
      </c>
      <c r="B53" s="4" t="s">
        <v>53</v>
      </c>
      <c r="C53" s="4">
        <v>8.6300000000000008</v>
      </c>
      <c r="D53" s="4">
        <v>2012</v>
      </c>
      <c r="E53" s="5" t="s">
        <v>54</v>
      </c>
      <c r="F53" s="5" t="s">
        <v>17</v>
      </c>
      <c r="G53" s="5" t="s">
        <v>55</v>
      </c>
      <c r="H53" s="5" t="s">
        <v>273</v>
      </c>
      <c r="I53" s="5" t="s">
        <v>57</v>
      </c>
      <c r="J53" s="5" t="s">
        <v>234</v>
      </c>
      <c r="K53" s="5" t="s">
        <v>223</v>
      </c>
      <c r="L53" s="5" t="s">
        <v>230</v>
      </c>
      <c r="M53" s="4">
        <v>7.2</v>
      </c>
      <c r="N53" s="4">
        <v>85</v>
      </c>
      <c r="O53" s="23">
        <f t="shared" si="3"/>
        <v>7.85</v>
      </c>
      <c r="P53" s="23">
        <f t="shared" si="4"/>
        <v>8.1100000000000012</v>
      </c>
    </row>
    <row r="54" spans="1:16" x14ac:dyDescent="0.25">
      <c r="A54" s="4">
        <f t="shared" si="5"/>
        <v>53</v>
      </c>
      <c r="B54" s="4" t="s">
        <v>478</v>
      </c>
      <c r="C54" s="4">
        <v>8.6199999999999992</v>
      </c>
      <c r="D54" s="4">
        <v>1957</v>
      </c>
      <c r="E54" s="10" t="s">
        <v>481</v>
      </c>
      <c r="F54" s="10" t="s">
        <v>482</v>
      </c>
      <c r="G54" s="10" t="s">
        <v>483</v>
      </c>
      <c r="H54" s="10" t="s">
        <v>485</v>
      </c>
      <c r="I54" s="10" t="s">
        <v>484</v>
      </c>
      <c r="J54" s="10" t="s">
        <v>230</v>
      </c>
      <c r="K54" s="10" t="s">
        <v>224</v>
      </c>
      <c r="L54" s="10" t="s">
        <v>728</v>
      </c>
      <c r="M54" s="4">
        <v>9</v>
      </c>
      <c r="N54" s="4">
        <v>100</v>
      </c>
      <c r="O54" s="23">
        <f t="shared" si="3"/>
        <v>9.5</v>
      </c>
      <c r="P54" s="23">
        <f t="shared" si="4"/>
        <v>9.2066666666666652</v>
      </c>
    </row>
    <row r="55" spans="1:16" x14ac:dyDescent="0.25">
      <c r="A55" s="4">
        <f t="shared" si="5"/>
        <v>54</v>
      </c>
      <c r="B55" s="4" t="s">
        <v>50</v>
      </c>
      <c r="C55" s="4">
        <v>8.61</v>
      </c>
      <c r="D55" s="4">
        <v>1996</v>
      </c>
      <c r="E55" s="5" t="s">
        <v>51</v>
      </c>
      <c r="F55" s="5" t="s">
        <v>304</v>
      </c>
      <c r="G55" s="5" t="s">
        <v>305</v>
      </c>
      <c r="H55" s="5" t="s">
        <v>306</v>
      </c>
      <c r="I55" s="5" t="s">
        <v>52</v>
      </c>
      <c r="J55" t="s">
        <v>225</v>
      </c>
      <c r="K55" t="s">
        <v>234</v>
      </c>
      <c r="M55" s="4">
        <v>7</v>
      </c>
      <c r="N55" s="4">
        <v>61</v>
      </c>
      <c r="O55" s="23">
        <f t="shared" si="3"/>
        <v>6.55</v>
      </c>
      <c r="P55" s="23">
        <f t="shared" si="4"/>
        <v>7.2366666666666672</v>
      </c>
    </row>
    <row r="56" spans="1:16" x14ac:dyDescent="0.25">
      <c r="A56" s="4">
        <f t="shared" si="5"/>
        <v>55</v>
      </c>
      <c r="B56" s="4" t="s">
        <v>373</v>
      </c>
      <c r="C56" s="4">
        <v>8.58</v>
      </c>
      <c r="D56" s="4">
        <v>2013</v>
      </c>
      <c r="E56" s="5" t="s">
        <v>375</v>
      </c>
      <c r="F56" s="10" t="s">
        <v>376</v>
      </c>
      <c r="G56" s="10" t="s">
        <v>377</v>
      </c>
      <c r="H56" s="10" t="s">
        <v>378</v>
      </c>
      <c r="I56" s="10" t="s">
        <v>379</v>
      </c>
      <c r="J56" t="s">
        <v>702</v>
      </c>
      <c r="K56" s="10" t="s">
        <v>224</v>
      </c>
      <c r="L56" s="10" t="s">
        <v>235</v>
      </c>
      <c r="M56" s="4">
        <v>8.1</v>
      </c>
      <c r="N56" s="4">
        <v>88</v>
      </c>
      <c r="O56" s="23">
        <f t="shared" si="3"/>
        <v>8.4499999999999993</v>
      </c>
      <c r="P56" s="23">
        <f t="shared" si="4"/>
        <v>8.4933333333333341</v>
      </c>
    </row>
    <row r="57" spans="1:16" x14ac:dyDescent="0.25">
      <c r="A57" s="4">
        <f t="shared" si="5"/>
        <v>56</v>
      </c>
      <c r="B57" s="4" t="s">
        <v>110</v>
      </c>
      <c r="C57" s="4">
        <v>8.57</v>
      </c>
      <c r="D57" s="4">
        <v>2004</v>
      </c>
      <c r="E57" s="5" t="s">
        <v>13</v>
      </c>
      <c r="F57" s="10" t="s">
        <v>111</v>
      </c>
      <c r="G57" s="10" t="s">
        <v>112</v>
      </c>
      <c r="H57" s="10" t="s">
        <v>113</v>
      </c>
      <c r="I57" s="10" t="s">
        <v>41</v>
      </c>
      <c r="J57" s="10" t="s">
        <v>234</v>
      </c>
      <c r="M57" s="4">
        <v>7.1</v>
      </c>
      <c r="N57" s="4">
        <v>66</v>
      </c>
      <c r="O57" s="23">
        <f t="shared" si="3"/>
        <v>6.85</v>
      </c>
      <c r="P57" s="23">
        <f t="shared" si="4"/>
        <v>7.4233333333333329</v>
      </c>
    </row>
    <row r="58" spans="1:16" x14ac:dyDescent="0.25">
      <c r="A58" s="4">
        <f t="shared" si="5"/>
        <v>57</v>
      </c>
      <c r="B58" s="4" t="s">
        <v>88</v>
      </c>
      <c r="C58" s="4">
        <v>8.56</v>
      </c>
      <c r="D58" s="4">
        <v>1996</v>
      </c>
      <c r="E58" s="5" t="s">
        <v>10</v>
      </c>
      <c r="F58" s="5" t="s">
        <v>48</v>
      </c>
      <c r="G58" s="5" t="s">
        <v>270</v>
      </c>
      <c r="H58" s="5" t="s">
        <v>271</v>
      </c>
      <c r="I58" s="5" t="s">
        <v>49</v>
      </c>
      <c r="J58" s="10" t="s">
        <v>223</v>
      </c>
      <c r="K58" s="10" t="s">
        <v>232</v>
      </c>
      <c r="L58" s="10" t="s">
        <v>237</v>
      </c>
      <c r="M58" s="4">
        <v>7.1</v>
      </c>
      <c r="N58" s="4">
        <v>66</v>
      </c>
      <c r="O58" s="23">
        <f t="shared" si="3"/>
        <v>6.85</v>
      </c>
      <c r="P58" s="23">
        <f t="shared" si="4"/>
        <v>7.419999999999999</v>
      </c>
    </row>
    <row r="59" spans="1:16" x14ac:dyDescent="0.25">
      <c r="A59" s="4">
        <f t="shared" si="5"/>
        <v>58</v>
      </c>
      <c r="B59" s="4" t="s">
        <v>217</v>
      </c>
      <c r="C59" s="4">
        <v>8.56</v>
      </c>
      <c r="D59" s="4">
        <v>2004</v>
      </c>
      <c r="E59" s="5" t="s">
        <v>23</v>
      </c>
      <c r="F59" s="10" t="s">
        <v>219</v>
      </c>
      <c r="G59" s="10" t="s">
        <v>222</v>
      </c>
      <c r="H59" s="10" t="s">
        <v>220</v>
      </c>
      <c r="I59" s="10" t="s">
        <v>370</v>
      </c>
      <c r="J59" t="s">
        <v>223</v>
      </c>
      <c r="K59" t="s">
        <v>232</v>
      </c>
      <c r="L59" t="s">
        <v>237</v>
      </c>
      <c r="M59" s="4">
        <v>7.7</v>
      </c>
      <c r="N59" s="4">
        <v>82</v>
      </c>
      <c r="O59" s="23">
        <f t="shared" si="3"/>
        <v>7.9499999999999993</v>
      </c>
      <c r="P59" s="23">
        <f t="shared" si="4"/>
        <v>8.1533333333333342</v>
      </c>
    </row>
    <row r="60" spans="1:16" x14ac:dyDescent="0.25">
      <c r="A60" s="4">
        <f t="shared" si="5"/>
        <v>59</v>
      </c>
      <c r="B60" s="4" t="s">
        <v>216</v>
      </c>
      <c r="C60" s="4">
        <v>8.5500000000000007</v>
      </c>
      <c r="D60" s="4">
        <v>2002</v>
      </c>
      <c r="E60" s="10" t="s">
        <v>23</v>
      </c>
      <c r="F60" s="10" t="s">
        <v>219</v>
      </c>
      <c r="G60" s="10" t="s">
        <v>221</v>
      </c>
      <c r="H60" s="10" t="s">
        <v>220</v>
      </c>
      <c r="I60" s="10" t="s">
        <v>372</v>
      </c>
      <c r="J60" s="10" t="s">
        <v>223</v>
      </c>
      <c r="K60" s="10" t="s">
        <v>232</v>
      </c>
      <c r="L60" s="10" t="s">
        <v>237</v>
      </c>
      <c r="M60" s="4">
        <v>7.9</v>
      </c>
      <c r="N60" s="4">
        <v>84</v>
      </c>
      <c r="O60" s="23">
        <f t="shared" si="3"/>
        <v>8.15</v>
      </c>
      <c r="P60" s="23">
        <f t="shared" si="4"/>
        <v>8.2833333333333332</v>
      </c>
    </row>
    <row r="61" spans="1:16" x14ac:dyDescent="0.25">
      <c r="A61" s="4">
        <f t="shared" si="5"/>
        <v>60</v>
      </c>
      <c r="B61" s="4" t="s">
        <v>200</v>
      </c>
      <c r="C61" s="4">
        <v>8.52</v>
      </c>
      <c r="D61" s="4">
        <v>2014</v>
      </c>
      <c r="E61" s="5" t="s">
        <v>74</v>
      </c>
      <c r="F61" s="10" t="s">
        <v>205</v>
      </c>
      <c r="G61" s="10" t="s">
        <v>206</v>
      </c>
      <c r="H61" s="10" t="s">
        <v>331</v>
      </c>
      <c r="I61" s="10" t="s">
        <v>207</v>
      </c>
      <c r="J61" s="10" t="s">
        <v>225</v>
      </c>
      <c r="K61" s="10" t="s">
        <v>224</v>
      </c>
      <c r="M61" s="4">
        <v>6.8</v>
      </c>
      <c r="N61" s="4">
        <v>60</v>
      </c>
      <c r="O61" s="23">
        <f t="shared" si="3"/>
        <v>6.4</v>
      </c>
      <c r="P61" s="23">
        <f t="shared" si="4"/>
        <v>7.1066666666666665</v>
      </c>
    </row>
    <row r="62" spans="1:16" x14ac:dyDescent="0.25">
      <c r="A62" s="4">
        <f t="shared" si="5"/>
        <v>61</v>
      </c>
      <c r="B62" s="4" t="s">
        <v>190</v>
      </c>
      <c r="C62" s="4">
        <v>8.52</v>
      </c>
      <c r="D62" s="4">
        <v>2023</v>
      </c>
      <c r="E62" s="10" t="s">
        <v>23</v>
      </c>
      <c r="F62" s="10" t="s">
        <v>24</v>
      </c>
      <c r="G62" s="10" t="s">
        <v>191</v>
      </c>
      <c r="H62" s="10" t="s">
        <v>134</v>
      </c>
      <c r="I62" s="10" t="s">
        <v>24</v>
      </c>
      <c r="J62" s="5" t="s">
        <v>225</v>
      </c>
      <c r="K62" s="10" t="s">
        <v>224</v>
      </c>
      <c r="M62" s="4">
        <v>7.5</v>
      </c>
      <c r="N62" s="4">
        <v>92</v>
      </c>
      <c r="O62" s="23">
        <f t="shared" si="3"/>
        <v>8.35</v>
      </c>
      <c r="P62" s="23">
        <f t="shared" si="4"/>
        <v>8.4066666666666663</v>
      </c>
    </row>
    <row r="63" spans="1:16" x14ac:dyDescent="0.25">
      <c r="A63" s="4">
        <f t="shared" si="5"/>
        <v>62</v>
      </c>
      <c r="B63" s="4" t="s">
        <v>92</v>
      </c>
      <c r="C63" s="4">
        <v>8.49</v>
      </c>
      <c r="D63" s="4">
        <v>2002</v>
      </c>
      <c r="E63" s="5" t="s">
        <v>16</v>
      </c>
      <c r="F63" s="10" t="s">
        <v>70</v>
      </c>
      <c r="G63" s="5" t="s">
        <v>29</v>
      </c>
      <c r="H63" s="5" t="s">
        <v>294</v>
      </c>
      <c r="I63" s="5" t="s">
        <v>71</v>
      </c>
      <c r="J63" s="5" t="s">
        <v>230</v>
      </c>
      <c r="K63" s="5" t="s">
        <v>224</v>
      </c>
      <c r="L63" s="10" t="s">
        <v>235</v>
      </c>
      <c r="M63" s="4">
        <v>8.1</v>
      </c>
      <c r="N63" s="4">
        <v>96</v>
      </c>
      <c r="O63" s="23">
        <f t="shared" si="3"/>
        <v>8.85</v>
      </c>
      <c r="P63" s="23">
        <f t="shared" si="4"/>
        <v>8.7299999999999986</v>
      </c>
    </row>
    <row r="64" spans="1:16" x14ac:dyDescent="0.25">
      <c r="A64" s="4">
        <f t="shared" si="5"/>
        <v>63</v>
      </c>
      <c r="B64" s="4" t="s">
        <v>87</v>
      </c>
      <c r="C64" s="4">
        <v>8.4700000000000006</v>
      </c>
      <c r="D64" s="4">
        <v>2000</v>
      </c>
      <c r="E64" s="5" t="s">
        <v>10</v>
      </c>
      <c r="F64" s="10" t="s">
        <v>295</v>
      </c>
      <c r="G64" s="5" t="s">
        <v>90</v>
      </c>
      <c r="H64" s="10" t="s">
        <v>89</v>
      </c>
      <c r="I64" s="5" t="s">
        <v>91</v>
      </c>
      <c r="J64" s="5" t="s">
        <v>223</v>
      </c>
      <c r="K64" s="10" t="s">
        <v>232</v>
      </c>
      <c r="L64" s="5" t="s">
        <v>237</v>
      </c>
      <c r="M64" s="4">
        <v>6.1</v>
      </c>
      <c r="N64" s="4">
        <v>56</v>
      </c>
      <c r="O64" s="23">
        <f t="shared" si="3"/>
        <v>5.85</v>
      </c>
      <c r="P64" s="23">
        <f t="shared" si="4"/>
        <v>6.7233333333333336</v>
      </c>
    </row>
    <row r="65" spans="1:16" x14ac:dyDescent="0.25">
      <c r="A65" s="4">
        <f t="shared" si="5"/>
        <v>64</v>
      </c>
      <c r="B65" s="4" t="s">
        <v>185</v>
      </c>
      <c r="C65" s="4">
        <v>8.4600000000000009</v>
      </c>
      <c r="D65" s="4">
        <v>1996</v>
      </c>
      <c r="E65" s="10" t="s">
        <v>186</v>
      </c>
      <c r="F65" s="10" t="s">
        <v>188</v>
      </c>
      <c r="G65" s="10" t="s">
        <v>284</v>
      </c>
      <c r="H65" s="10" t="s">
        <v>285</v>
      </c>
      <c r="I65" s="10" t="s">
        <v>187</v>
      </c>
      <c r="J65" s="10" t="s">
        <v>225</v>
      </c>
      <c r="K65" s="10" t="s">
        <v>239</v>
      </c>
      <c r="L65" s="10" t="s">
        <v>237</v>
      </c>
      <c r="M65" s="4">
        <v>6.5</v>
      </c>
      <c r="N65" s="4">
        <v>43</v>
      </c>
      <c r="O65" s="23">
        <f t="shared" si="3"/>
        <v>5.4</v>
      </c>
      <c r="P65" s="23">
        <f t="shared" si="4"/>
        <v>6.4200000000000008</v>
      </c>
    </row>
    <row r="66" spans="1:16" x14ac:dyDescent="0.25">
      <c r="A66" s="4">
        <f t="shared" si="5"/>
        <v>65</v>
      </c>
      <c r="B66" s="4" t="s">
        <v>468</v>
      </c>
      <c r="C66" s="4">
        <v>8.4499999999999993</v>
      </c>
      <c r="D66" s="4">
        <v>1997</v>
      </c>
      <c r="E66" s="10" t="s">
        <v>46</v>
      </c>
      <c r="F66" s="10" t="s">
        <v>469</v>
      </c>
      <c r="G66" s="10" t="s">
        <v>435</v>
      </c>
      <c r="H66" s="10" t="s">
        <v>470</v>
      </c>
      <c r="I66" s="10" t="s">
        <v>471</v>
      </c>
      <c r="J66" s="10" t="s">
        <v>230</v>
      </c>
      <c r="K66" s="10" t="s">
        <v>224</v>
      </c>
      <c r="L66" s="10" t="s">
        <v>727</v>
      </c>
      <c r="M66" s="4">
        <v>7.7</v>
      </c>
      <c r="N66" s="4">
        <v>88</v>
      </c>
      <c r="O66" s="23">
        <f t="shared" ref="O66:O97" si="6">(M66+(N66/10))/2</f>
        <v>8.25</v>
      </c>
      <c r="P66" s="23">
        <f t="shared" ref="P66:P97" si="7">(M66+C66+(N66/10))/3</f>
        <v>8.3166666666666664</v>
      </c>
    </row>
    <row r="67" spans="1:16" x14ac:dyDescent="0.25">
      <c r="A67" s="4">
        <f t="shared" ref="A67:A98" si="8">A66+1</f>
        <v>66</v>
      </c>
      <c r="B67" s="4" t="s">
        <v>172</v>
      </c>
      <c r="C67" s="4">
        <v>8.44</v>
      </c>
      <c r="D67" s="4">
        <v>1994</v>
      </c>
      <c r="E67" s="10" t="s">
        <v>175</v>
      </c>
      <c r="F67" s="10" t="s">
        <v>178</v>
      </c>
      <c r="G67" s="10" t="s">
        <v>180</v>
      </c>
      <c r="H67" s="10" t="s">
        <v>181</v>
      </c>
      <c r="I67" s="10" t="s">
        <v>179</v>
      </c>
      <c r="J67" s="10" t="s">
        <v>225</v>
      </c>
      <c r="K67" s="10" t="s">
        <v>224</v>
      </c>
      <c r="L67" s="10" t="s">
        <v>240</v>
      </c>
      <c r="M67" s="4">
        <v>6.1</v>
      </c>
      <c r="N67" s="4">
        <v>21</v>
      </c>
      <c r="O67" s="23">
        <f t="shared" si="6"/>
        <v>4.0999999999999996</v>
      </c>
      <c r="P67" s="23">
        <f t="shared" si="7"/>
        <v>5.5466666666666669</v>
      </c>
    </row>
    <row r="68" spans="1:16" x14ac:dyDescent="0.25">
      <c r="A68" s="4">
        <f t="shared" si="8"/>
        <v>67</v>
      </c>
      <c r="B68" s="4" t="s">
        <v>249</v>
      </c>
      <c r="C68" s="4">
        <v>8.39</v>
      </c>
      <c r="D68" s="4">
        <v>1998</v>
      </c>
      <c r="E68" s="10" t="s">
        <v>23</v>
      </c>
      <c r="F68" s="10" t="s">
        <v>250</v>
      </c>
      <c r="G68" s="10" t="s">
        <v>251</v>
      </c>
      <c r="H68" s="10" t="s">
        <v>252</v>
      </c>
      <c r="I68" s="10" t="s">
        <v>253</v>
      </c>
      <c r="J68" s="5" t="s">
        <v>636</v>
      </c>
      <c r="K68" s="10" t="s">
        <v>230</v>
      </c>
      <c r="L68" s="10" t="s">
        <v>224</v>
      </c>
      <c r="M68" s="4">
        <v>7.3</v>
      </c>
      <c r="N68" s="4">
        <v>64</v>
      </c>
      <c r="O68" s="23">
        <f t="shared" si="6"/>
        <v>6.85</v>
      </c>
      <c r="P68" s="23">
        <f t="shared" si="7"/>
        <v>7.3633333333333342</v>
      </c>
    </row>
    <row r="69" spans="1:16" x14ac:dyDescent="0.25">
      <c r="A69" s="4">
        <f t="shared" si="8"/>
        <v>68</v>
      </c>
      <c r="B69" s="4">
        <v>21</v>
      </c>
      <c r="C69" s="4">
        <v>8.3800000000000008</v>
      </c>
      <c r="D69" s="4">
        <v>2008</v>
      </c>
      <c r="E69" s="10" t="s">
        <v>318</v>
      </c>
      <c r="F69" s="10" t="s">
        <v>319</v>
      </c>
      <c r="G69" s="10" t="s">
        <v>60</v>
      </c>
      <c r="H69" s="10" t="s">
        <v>320</v>
      </c>
      <c r="I69" s="10" t="s">
        <v>114</v>
      </c>
      <c r="J69" s="5" t="s">
        <v>636</v>
      </c>
      <c r="K69" t="s">
        <v>230</v>
      </c>
      <c r="L69" t="s">
        <v>224</v>
      </c>
      <c r="M69" s="4">
        <v>6.8</v>
      </c>
      <c r="N69" s="4">
        <v>36</v>
      </c>
      <c r="O69" s="23">
        <f t="shared" si="6"/>
        <v>5.2</v>
      </c>
      <c r="P69" s="23">
        <f t="shared" si="7"/>
        <v>6.2600000000000007</v>
      </c>
    </row>
    <row r="70" spans="1:16" x14ac:dyDescent="0.25">
      <c r="A70" s="4">
        <f t="shared" si="8"/>
        <v>69</v>
      </c>
      <c r="B70" s="4" t="s">
        <v>537</v>
      </c>
      <c r="C70" s="4">
        <v>8.36</v>
      </c>
      <c r="D70" s="4">
        <v>1988</v>
      </c>
      <c r="E70" s="5" t="s">
        <v>10</v>
      </c>
      <c r="F70" s="10" t="s">
        <v>539</v>
      </c>
      <c r="G70" s="10" t="s">
        <v>540</v>
      </c>
      <c r="H70" s="10" t="s">
        <v>541</v>
      </c>
      <c r="I70" s="10" t="s">
        <v>538</v>
      </c>
      <c r="J70" s="10" t="s">
        <v>224</v>
      </c>
      <c r="M70" s="4">
        <v>8</v>
      </c>
      <c r="N70" s="4">
        <v>88</v>
      </c>
      <c r="O70" s="23">
        <f t="shared" si="6"/>
        <v>8.4</v>
      </c>
      <c r="P70" s="23">
        <f t="shared" si="7"/>
        <v>8.3866666666666667</v>
      </c>
    </row>
    <row r="71" spans="1:16" x14ac:dyDescent="0.25">
      <c r="A71" s="4">
        <f t="shared" si="8"/>
        <v>70</v>
      </c>
      <c r="B71" s="4" t="s">
        <v>514</v>
      </c>
      <c r="C71" s="4">
        <v>8.35</v>
      </c>
      <c r="D71" s="4">
        <v>2017</v>
      </c>
      <c r="E71" s="10" t="s">
        <v>515</v>
      </c>
      <c r="F71" s="10" t="s">
        <v>516</v>
      </c>
      <c r="G71" s="10" t="s">
        <v>517</v>
      </c>
      <c r="H71" s="10" t="s">
        <v>518</v>
      </c>
      <c r="I71" s="10" t="s">
        <v>43</v>
      </c>
      <c r="J71" s="5" t="s">
        <v>241</v>
      </c>
      <c r="K71" s="10" t="s">
        <v>232</v>
      </c>
      <c r="L71" s="10" t="s">
        <v>224</v>
      </c>
      <c r="M71" s="4">
        <v>7.8</v>
      </c>
      <c r="N71" s="4">
        <v>92</v>
      </c>
      <c r="O71" s="23">
        <f t="shared" si="6"/>
        <v>8.5</v>
      </c>
      <c r="P71" s="23">
        <f t="shared" si="7"/>
        <v>8.4499999999999993</v>
      </c>
    </row>
    <row r="72" spans="1:16" x14ac:dyDescent="0.25">
      <c r="A72" s="4">
        <f t="shared" si="8"/>
        <v>71</v>
      </c>
      <c r="B72" s="4">
        <v>1917</v>
      </c>
      <c r="C72" s="4">
        <v>8.33</v>
      </c>
      <c r="D72" s="4">
        <v>2019</v>
      </c>
      <c r="E72" s="10" t="s">
        <v>733</v>
      </c>
      <c r="F72" s="10" t="s">
        <v>734</v>
      </c>
      <c r="G72" s="10" t="s">
        <v>735</v>
      </c>
      <c r="H72" s="10" t="s">
        <v>501</v>
      </c>
      <c r="I72" s="10" t="s">
        <v>499</v>
      </c>
      <c r="J72" s="10" t="s">
        <v>241</v>
      </c>
      <c r="K72" s="10" t="s">
        <v>224</v>
      </c>
      <c r="L72" t="s">
        <v>223</v>
      </c>
      <c r="M72" s="4">
        <v>8.1999999999999993</v>
      </c>
      <c r="N72" s="4">
        <v>88</v>
      </c>
      <c r="O72" s="23">
        <f t="shared" si="6"/>
        <v>8.5</v>
      </c>
      <c r="P72" s="23">
        <f t="shared" si="7"/>
        <v>8.4433333333333334</v>
      </c>
    </row>
    <row r="73" spans="1:16" x14ac:dyDescent="0.25">
      <c r="A73" s="4">
        <f t="shared" si="8"/>
        <v>72</v>
      </c>
      <c r="B73" s="4" t="s">
        <v>430</v>
      </c>
      <c r="C73" s="4">
        <v>8.31</v>
      </c>
      <c r="D73" s="4">
        <v>2012</v>
      </c>
      <c r="E73" s="10" t="s">
        <v>380</v>
      </c>
      <c r="F73" s="10" t="s">
        <v>431</v>
      </c>
      <c r="G73" s="10" t="s">
        <v>16</v>
      </c>
      <c r="H73" s="10" t="s">
        <v>66</v>
      </c>
      <c r="I73" s="10" t="s">
        <v>68</v>
      </c>
      <c r="J73" s="9" t="s">
        <v>224</v>
      </c>
      <c r="K73" s="9" t="s">
        <v>432</v>
      </c>
      <c r="L73" s="9" t="s">
        <v>234</v>
      </c>
      <c r="M73" s="7">
        <v>8.4</v>
      </c>
      <c r="N73" s="7">
        <v>87</v>
      </c>
      <c r="O73" s="24">
        <f t="shared" si="6"/>
        <v>8.5500000000000007</v>
      </c>
      <c r="P73" s="24">
        <f t="shared" si="7"/>
        <v>8.4700000000000006</v>
      </c>
    </row>
    <row r="74" spans="1:16" x14ac:dyDescent="0.25">
      <c r="A74" s="4">
        <f t="shared" si="8"/>
        <v>73</v>
      </c>
      <c r="B74" s="4" t="s">
        <v>98</v>
      </c>
      <c r="C74" s="4">
        <v>8.2899999999999991</v>
      </c>
      <c r="D74" s="4">
        <v>2004</v>
      </c>
      <c r="E74" s="5" t="s">
        <v>99</v>
      </c>
      <c r="F74" s="10" t="s">
        <v>100</v>
      </c>
      <c r="G74" s="10" t="s">
        <v>275</v>
      </c>
      <c r="H74" s="10" t="s">
        <v>276</v>
      </c>
      <c r="I74" s="10" t="s">
        <v>146</v>
      </c>
      <c r="J74" s="5" t="s">
        <v>234</v>
      </c>
      <c r="K74" s="5" t="s">
        <v>225</v>
      </c>
      <c r="L74" s="5"/>
      <c r="M74" s="4">
        <v>6.7</v>
      </c>
      <c r="N74" s="4">
        <v>71</v>
      </c>
      <c r="O74" s="23">
        <f t="shared" si="6"/>
        <v>6.9</v>
      </c>
      <c r="P74" s="23">
        <f t="shared" si="7"/>
        <v>7.3633333333333324</v>
      </c>
    </row>
    <row r="75" spans="1:16" x14ac:dyDescent="0.25">
      <c r="A75" s="4">
        <f t="shared" si="8"/>
        <v>74</v>
      </c>
      <c r="B75" s="4" t="s">
        <v>93</v>
      </c>
      <c r="C75" s="4">
        <v>8.24</v>
      </c>
      <c r="D75" s="4">
        <v>2006</v>
      </c>
      <c r="E75" s="5" t="s">
        <v>10</v>
      </c>
      <c r="F75" s="10" t="s">
        <v>94</v>
      </c>
      <c r="G75" s="5" t="s">
        <v>89</v>
      </c>
      <c r="H75" s="10" t="s">
        <v>300</v>
      </c>
      <c r="I75" s="5" t="s">
        <v>95</v>
      </c>
      <c r="J75" s="5" t="s">
        <v>223</v>
      </c>
      <c r="K75" s="10" t="s">
        <v>232</v>
      </c>
      <c r="L75" s="10" t="s">
        <v>237</v>
      </c>
      <c r="M75" s="4">
        <v>6.9</v>
      </c>
      <c r="N75" s="4">
        <v>71</v>
      </c>
      <c r="O75" s="23">
        <f t="shared" si="6"/>
        <v>7</v>
      </c>
      <c r="P75" s="23">
        <f t="shared" si="7"/>
        <v>7.413333333333334</v>
      </c>
    </row>
    <row r="76" spans="1:16" x14ac:dyDescent="0.25">
      <c r="A76" s="4">
        <f t="shared" si="8"/>
        <v>75</v>
      </c>
      <c r="B76" s="4" t="s">
        <v>82</v>
      </c>
      <c r="C76" s="4">
        <v>8.23</v>
      </c>
      <c r="D76" s="4">
        <v>1994</v>
      </c>
      <c r="E76" s="5" t="s">
        <v>80</v>
      </c>
      <c r="F76" s="10" t="s">
        <v>81</v>
      </c>
      <c r="G76" s="5" t="s">
        <v>287</v>
      </c>
      <c r="H76" s="5" t="s">
        <v>288</v>
      </c>
      <c r="I76" s="5" t="s">
        <v>79</v>
      </c>
      <c r="J76" s="10" t="s">
        <v>234</v>
      </c>
      <c r="K76" s="10"/>
      <c r="L76" s="10"/>
      <c r="M76" s="4">
        <v>7.3</v>
      </c>
      <c r="N76" s="4">
        <v>68</v>
      </c>
      <c r="O76" s="23">
        <f t="shared" si="6"/>
        <v>7.05</v>
      </c>
      <c r="P76" s="23">
        <f t="shared" si="7"/>
        <v>7.4433333333333342</v>
      </c>
    </row>
    <row r="77" spans="1:16" x14ac:dyDescent="0.25">
      <c r="A77" s="4">
        <f t="shared" si="8"/>
        <v>76</v>
      </c>
      <c r="B77" s="4" t="s">
        <v>494</v>
      </c>
      <c r="C77" s="4">
        <v>8.2200000000000006</v>
      </c>
      <c r="D77" s="4">
        <v>2012</v>
      </c>
      <c r="E77" s="5" t="s">
        <v>84</v>
      </c>
      <c r="F77" s="10" t="s">
        <v>312</v>
      </c>
      <c r="G77" s="10" t="s">
        <v>497</v>
      </c>
      <c r="H77" s="10" t="s">
        <v>498</v>
      </c>
      <c r="I77" s="10" t="s">
        <v>499</v>
      </c>
      <c r="J77" s="10" t="s">
        <v>223</v>
      </c>
      <c r="K77" s="10" t="s">
        <v>232</v>
      </c>
      <c r="L77" s="10" t="s">
        <v>237</v>
      </c>
      <c r="M77" s="4">
        <v>7.8</v>
      </c>
      <c r="N77" s="4">
        <v>92</v>
      </c>
      <c r="O77" s="23">
        <f t="shared" si="6"/>
        <v>8.5</v>
      </c>
      <c r="P77" s="23">
        <f t="shared" si="7"/>
        <v>8.4066666666666663</v>
      </c>
    </row>
    <row r="78" spans="1:16" x14ac:dyDescent="0.25">
      <c r="A78" s="4">
        <f t="shared" si="8"/>
        <v>77</v>
      </c>
      <c r="B78" s="4" t="s">
        <v>96</v>
      </c>
      <c r="C78" s="4">
        <v>8.18</v>
      </c>
      <c r="D78" s="4">
        <v>1996</v>
      </c>
      <c r="E78" s="5" t="s">
        <v>10</v>
      </c>
      <c r="F78" s="10" t="s">
        <v>301</v>
      </c>
      <c r="G78" s="10" t="s">
        <v>302</v>
      </c>
      <c r="H78" s="10" t="s">
        <v>303</v>
      </c>
      <c r="I78" s="10" t="s">
        <v>97</v>
      </c>
      <c r="J78" t="s">
        <v>225</v>
      </c>
      <c r="K78" t="s">
        <v>234</v>
      </c>
      <c r="L78" s="10" t="s">
        <v>236</v>
      </c>
      <c r="M78" s="4">
        <v>7.3</v>
      </c>
      <c r="N78" s="4">
        <v>84</v>
      </c>
      <c r="O78" s="23">
        <f t="shared" si="6"/>
        <v>7.85</v>
      </c>
      <c r="P78" s="23">
        <f t="shared" si="7"/>
        <v>7.9600000000000009</v>
      </c>
    </row>
    <row r="79" spans="1:16" x14ac:dyDescent="0.25">
      <c r="A79" s="4">
        <f t="shared" si="8"/>
        <v>78</v>
      </c>
      <c r="B79" s="4" t="s">
        <v>189</v>
      </c>
      <c r="C79" s="4">
        <v>8.15</v>
      </c>
      <c r="D79" s="4">
        <v>2022</v>
      </c>
      <c r="E79" s="10" t="s">
        <v>51</v>
      </c>
      <c r="F79" s="10" t="s">
        <v>192</v>
      </c>
      <c r="G79" s="10" t="s">
        <v>32</v>
      </c>
      <c r="H79" s="10" t="s">
        <v>193</v>
      </c>
      <c r="I79" s="10" t="s">
        <v>194</v>
      </c>
      <c r="J79" s="10" t="s">
        <v>225</v>
      </c>
      <c r="K79" s="10" t="s">
        <v>234</v>
      </c>
      <c r="L79" s="10" t="s">
        <v>224</v>
      </c>
      <c r="M79" s="4">
        <v>7.3</v>
      </c>
      <c r="N79" s="4">
        <v>93</v>
      </c>
      <c r="O79" s="23">
        <f t="shared" si="6"/>
        <v>8.3000000000000007</v>
      </c>
      <c r="P79" s="23">
        <f t="shared" si="7"/>
        <v>8.25</v>
      </c>
    </row>
    <row r="80" spans="1:16" x14ac:dyDescent="0.25">
      <c r="A80" s="4">
        <f t="shared" si="8"/>
        <v>79</v>
      </c>
      <c r="B80" s="4" t="s">
        <v>465</v>
      </c>
      <c r="C80" s="4">
        <v>8.1199999999999992</v>
      </c>
      <c r="D80" s="4">
        <v>2009</v>
      </c>
      <c r="E80" s="10" t="s">
        <v>59</v>
      </c>
      <c r="F80" s="10" t="s">
        <v>431</v>
      </c>
      <c r="G80" s="10" t="s">
        <v>466</v>
      </c>
      <c r="H80" s="10" t="s">
        <v>467</v>
      </c>
      <c r="I80" s="10" t="s">
        <v>68</v>
      </c>
      <c r="J80" s="10" t="s">
        <v>241</v>
      </c>
      <c r="K80" s="10" t="s">
        <v>224</v>
      </c>
      <c r="L80" s="10" t="s">
        <v>237</v>
      </c>
      <c r="M80" s="4">
        <v>8.3000000000000007</v>
      </c>
      <c r="N80" s="4">
        <v>89</v>
      </c>
      <c r="O80" s="23">
        <f t="shared" si="6"/>
        <v>8.6000000000000014</v>
      </c>
      <c r="P80" s="23">
        <f t="shared" si="7"/>
        <v>8.44</v>
      </c>
    </row>
    <row r="81" spans="1:190" x14ac:dyDescent="0.25">
      <c r="A81" s="4">
        <f t="shared" si="8"/>
        <v>80</v>
      </c>
      <c r="B81" s="4" t="s">
        <v>439</v>
      </c>
      <c r="C81" s="4">
        <v>8.0500000000000007</v>
      </c>
      <c r="D81" s="4">
        <v>2005</v>
      </c>
      <c r="E81" s="5" t="s">
        <v>440</v>
      </c>
      <c r="F81" s="10" t="s">
        <v>441</v>
      </c>
      <c r="G81" s="10" t="s">
        <v>442</v>
      </c>
      <c r="H81" s="10" t="s">
        <v>443</v>
      </c>
      <c r="I81" s="10" t="s">
        <v>346</v>
      </c>
      <c r="J81" s="10" t="s">
        <v>225</v>
      </c>
      <c r="K81" s="10" t="s">
        <v>224</v>
      </c>
      <c r="L81" s="10" t="s">
        <v>235</v>
      </c>
      <c r="M81" s="4">
        <v>7.4</v>
      </c>
      <c r="N81" s="4">
        <v>63</v>
      </c>
      <c r="O81" s="23">
        <f t="shared" si="6"/>
        <v>6.85</v>
      </c>
      <c r="P81" s="23">
        <f t="shared" si="7"/>
        <v>7.25</v>
      </c>
    </row>
    <row r="82" spans="1:190" x14ac:dyDescent="0.25">
      <c r="A82" s="4">
        <f t="shared" si="8"/>
        <v>81</v>
      </c>
      <c r="B82" s="4" t="s">
        <v>195</v>
      </c>
      <c r="C82" s="4">
        <v>8.0399999999999991</v>
      </c>
      <c r="D82" s="4">
        <v>1998</v>
      </c>
      <c r="E82" s="10" t="s">
        <v>80</v>
      </c>
      <c r="F82" s="10" t="s">
        <v>196</v>
      </c>
      <c r="G82" s="10" t="s">
        <v>307</v>
      </c>
      <c r="H82" s="10" t="s">
        <v>257</v>
      </c>
      <c r="I82" s="10" t="s">
        <v>197</v>
      </c>
      <c r="J82" s="10" t="s">
        <v>224</v>
      </c>
      <c r="K82" s="10" t="s">
        <v>234</v>
      </c>
      <c r="M82" s="4">
        <v>8.1999999999999993</v>
      </c>
      <c r="N82" s="4">
        <v>95</v>
      </c>
      <c r="O82" s="23">
        <f t="shared" si="6"/>
        <v>8.85</v>
      </c>
      <c r="P82" s="23">
        <f t="shared" si="7"/>
        <v>8.58</v>
      </c>
    </row>
    <row r="83" spans="1:190" x14ac:dyDescent="0.25">
      <c r="A83" s="4">
        <f t="shared" si="8"/>
        <v>82</v>
      </c>
      <c r="B83" s="4" t="s">
        <v>524</v>
      </c>
      <c r="C83" s="4">
        <v>8.02</v>
      </c>
      <c r="D83" s="4">
        <v>1998</v>
      </c>
      <c r="E83" s="6" t="s">
        <v>528</v>
      </c>
      <c r="F83" s="10" t="s">
        <v>529</v>
      </c>
      <c r="G83" s="10" t="s">
        <v>530</v>
      </c>
      <c r="H83" s="10" t="s">
        <v>531</v>
      </c>
      <c r="I83" s="10" t="s">
        <v>532</v>
      </c>
      <c r="J83" s="10" t="s">
        <v>234</v>
      </c>
      <c r="K83" s="10" t="s">
        <v>232</v>
      </c>
      <c r="L83" s="10" t="s">
        <v>230</v>
      </c>
      <c r="M83" s="4">
        <v>7</v>
      </c>
      <c r="N83" s="4">
        <v>62</v>
      </c>
      <c r="O83" s="23">
        <f t="shared" si="6"/>
        <v>6.6</v>
      </c>
      <c r="P83" s="23">
        <f t="shared" si="7"/>
        <v>7.0733333333333333</v>
      </c>
    </row>
    <row r="84" spans="1:190" x14ac:dyDescent="0.25">
      <c r="A84" s="4">
        <f t="shared" si="8"/>
        <v>83</v>
      </c>
      <c r="B84" s="4" t="s">
        <v>437</v>
      </c>
      <c r="C84" s="4">
        <v>8.01</v>
      </c>
      <c r="D84" s="4">
        <v>2015</v>
      </c>
      <c r="E84" s="10" t="s">
        <v>66</v>
      </c>
      <c r="F84" s="10" t="s">
        <v>141</v>
      </c>
      <c r="G84" s="10" t="s">
        <v>434</v>
      </c>
      <c r="H84" s="10" t="s">
        <v>438</v>
      </c>
      <c r="I84" s="10" t="s">
        <v>68</v>
      </c>
      <c r="J84" s="10" t="s">
        <v>432</v>
      </c>
      <c r="K84" s="10" t="s">
        <v>232</v>
      </c>
      <c r="L84" s="10" t="s">
        <v>231</v>
      </c>
      <c r="M84" s="4">
        <v>7.8</v>
      </c>
      <c r="N84" s="4">
        <v>75</v>
      </c>
      <c r="O84" s="23">
        <f t="shared" si="6"/>
        <v>7.65</v>
      </c>
      <c r="P84" s="23">
        <f t="shared" si="7"/>
        <v>7.77</v>
      </c>
    </row>
    <row r="85" spans="1:190" x14ac:dyDescent="0.25">
      <c r="A85" s="4">
        <f t="shared" si="8"/>
        <v>84</v>
      </c>
      <c r="B85" s="4" t="s">
        <v>407</v>
      </c>
      <c r="C85" s="4">
        <v>7.96</v>
      </c>
      <c r="D85" s="4">
        <v>2015</v>
      </c>
      <c r="E85" s="10" t="s">
        <v>13</v>
      </c>
      <c r="F85" s="10" t="s">
        <v>408</v>
      </c>
      <c r="G85" s="10" t="s">
        <v>409</v>
      </c>
      <c r="H85" s="10" t="s">
        <v>410</v>
      </c>
      <c r="I85" s="10" t="s">
        <v>411</v>
      </c>
      <c r="J85" s="10" t="s">
        <v>234</v>
      </c>
      <c r="K85" s="10" t="s">
        <v>230</v>
      </c>
      <c r="L85" s="10" t="s">
        <v>224</v>
      </c>
      <c r="M85" s="4">
        <v>6</v>
      </c>
      <c r="N85" s="4">
        <v>28</v>
      </c>
      <c r="O85" s="23">
        <f t="shared" si="6"/>
        <v>4.4000000000000004</v>
      </c>
      <c r="P85" s="23">
        <f t="shared" si="7"/>
        <v>5.5866666666666669</v>
      </c>
    </row>
    <row r="86" spans="1:190" x14ac:dyDescent="0.25">
      <c r="A86" s="4">
        <f t="shared" si="8"/>
        <v>85</v>
      </c>
      <c r="B86" s="4" t="s">
        <v>374</v>
      </c>
      <c r="C86" s="4">
        <v>7.95</v>
      </c>
      <c r="D86" s="4">
        <v>2004</v>
      </c>
      <c r="E86" s="10" t="s">
        <v>10</v>
      </c>
      <c r="F86" s="10" t="s">
        <v>380</v>
      </c>
      <c r="G86" s="10" t="s">
        <v>381</v>
      </c>
      <c r="H86" s="10" t="s">
        <v>335</v>
      </c>
      <c r="I86" s="10" t="s">
        <v>47</v>
      </c>
      <c r="J86" t="s">
        <v>230</v>
      </c>
      <c r="K86" s="10" t="s">
        <v>224</v>
      </c>
      <c r="L86" s="10" t="s">
        <v>232</v>
      </c>
      <c r="M86" s="4">
        <v>7.5</v>
      </c>
      <c r="N86" s="4">
        <v>86</v>
      </c>
      <c r="O86" s="23">
        <f t="shared" si="6"/>
        <v>8.0500000000000007</v>
      </c>
      <c r="P86" s="23">
        <f t="shared" si="7"/>
        <v>8.0166666666666657</v>
      </c>
    </row>
    <row r="87" spans="1:190" x14ac:dyDescent="0.25">
      <c r="A87" s="4">
        <f t="shared" si="8"/>
        <v>86</v>
      </c>
      <c r="B87" s="4" t="s">
        <v>489</v>
      </c>
      <c r="C87" s="4">
        <v>7.94</v>
      </c>
      <c r="D87" s="4">
        <v>2003</v>
      </c>
      <c r="E87" s="5" t="s">
        <v>490</v>
      </c>
      <c r="F87" s="10" t="s">
        <v>99</v>
      </c>
      <c r="G87" s="10" t="s">
        <v>13</v>
      </c>
      <c r="H87" s="10" t="s">
        <v>491</v>
      </c>
      <c r="I87" s="10" t="s">
        <v>167</v>
      </c>
      <c r="J87" s="10" t="s">
        <v>234</v>
      </c>
      <c r="M87" s="4">
        <v>7</v>
      </c>
      <c r="N87" s="4">
        <v>60</v>
      </c>
      <c r="O87" s="23">
        <f t="shared" si="6"/>
        <v>6.5</v>
      </c>
      <c r="P87" s="23">
        <f t="shared" si="7"/>
        <v>6.98</v>
      </c>
    </row>
    <row r="88" spans="1:190" x14ac:dyDescent="0.25">
      <c r="A88" s="4">
        <f t="shared" si="8"/>
        <v>87</v>
      </c>
      <c r="B88" s="4" t="s">
        <v>730</v>
      </c>
      <c r="C88" s="4">
        <v>7.86</v>
      </c>
      <c r="D88" s="4">
        <v>2019</v>
      </c>
      <c r="E88" s="10" t="s">
        <v>618</v>
      </c>
      <c r="F88" s="10" t="s">
        <v>624</v>
      </c>
      <c r="G88" s="10" t="s">
        <v>731</v>
      </c>
      <c r="H88" s="10" t="s">
        <v>732</v>
      </c>
      <c r="I88" s="10" t="s">
        <v>675</v>
      </c>
      <c r="J88" s="10" t="s">
        <v>230</v>
      </c>
      <c r="K88" s="10" t="s">
        <v>224</v>
      </c>
      <c r="L88" s="10" t="s">
        <v>232</v>
      </c>
      <c r="M88" s="4">
        <v>7.3</v>
      </c>
      <c r="N88" s="4">
        <v>92</v>
      </c>
      <c r="O88" s="23">
        <f t="shared" si="6"/>
        <v>8.25</v>
      </c>
      <c r="P88" s="23">
        <f t="shared" si="7"/>
        <v>8.1199999999999992</v>
      </c>
    </row>
    <row r="89" spans="1:190" s="9" customFormat="1" x14ac:dyDescent="0.25">
      <c r="A89" s="4">
        <f t="shared" si="8"/>
        <v>88</v>
      </c>
      <c r="B89" s="4" t="s">
        <v>627</v>
      </c>
      <c r="C89" s="4">
        <v>7.85</v>
      </c>
      <c r="D89" s="4">
        <v>2016</v>
      </c>
      <c r="E89" s="10" t="s">
        <v>17</v>
      </c>
      <c r="F89" s="10" t="s">
        <v>31</v>
      </c>
      <c r="G89" s="10" t="s">
        <v>163</v>
      </c>
      <c r="H89" s="10" t="s">
        <v>628</v>
      </c>
      <c r="I89" s="10" t="s">
        <v>167</v>
      </c>
      <c r="J89" s="10" t="s">
        <v>234</v>
      </c>
      <c r="K89" s="10" t="s">
        <v>230</v>
      </c>
      <c r="L89" s="10" t="s">
        <v>224</v>
      </c>
      <c r="M89" s="4">
        <v>7.1</v>
      </c>
      <c r="N89" s="4">
        <v>62</v>
      </c>
      <c r="O89" s="23">
        <f t="shared" si="6"/>
        <v>6.65</v>
      </c>
      <c r="P89" s="23">
        <f t="shared" si="7"/>
        <v>7.05</v>
      </c>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row>
    <row r="90" spans="1:190" x14ac:dyDescent="0.25">
      <c r="A90" s="4">
        <f t="shared" si="8"/>
        <v>89</v>
      </c>
      <c r="B90" s="4" t="s">
        <v>520</v>
      </c>
      <c r="C90" s="4">
        <v>7.84</v>
      </c>
      <c r="D90" s="4">
        <v>2010</v>
      </c>
      <c r="E90" s="10" t="s">
        <v>23</v>
      </c>
      <c r="F90" s="10" t="s">
        <v>521</v>
      </c>
      <c r="G90" s="10" t="s">
        <v>522</v>
      </c>
      <c r="H90" s="10" t="s">
        <v>523</v>
      </c>
      <c r="I90" s="10" t="s">
        <v>370</v>
      </c>
      <c r="J90" s="10" t="s">
        <v>241</v>
      </c>
      <c r="K90" s="10" t="s">
        <v>224</v>
      </c>
      <c r="L90" s="10" t="s">
        <v>232</v>
      </c>
      <c r="M90" s="4">
        <v>6.8</v>
      </c>
      <c r="N90" s="4">
        <v>53</v>
      </c>
      <c r="O90" s="23">
        <f t="shared" si="6"/>
        <v>6.05</v>
      </c>
      <c r="P90" s="23">
        <f t="shared" si="7"/>
        <v>6.6466666666666674</v>
      </c>
    </row>
    <row r="91" spans="1:190" x14ac:dyDescent="0.25">
      <c r="A91" s="4">
        <f t="shared" si="8"/>
        <v>90</v>
      </c>
      <c r="B91" s="4" t="s">
        <v>507</v>
      </c>
      <c r="C91" s="4">
        <v>7.83</v>
      </c>
      <c r="D91" s="4">
        <v>1992</v>
      </c>
      <c r="E91" s="10" t="s">
        <v>36</v>
      </c>
      <c r="F91" s="10" t="s">
        <v>509</v>
      </c>
      <c r="G91" s="10" t="s">
        <v>510</v>
      </c>
      <c r="H91" s="10" t="s">
        <v>511</v>
      </c>
      <c r="I91" s="10" t="s">
        <v>508</v>
      </c>
      <c r="J91" t="s">
        <v>234</v>
      </c>
      <c r="K91" t="s">
        <v>230</v>
      </c>
      <c r="L91" s="10" t="s">
        <v>728</v>
      </c>
      <c r="M91" s="4">
        <v>7.6</v>
      </c>
      <c r="N91" s="4">
        <v>87</v>
      </c>
      <c r="O91" s="23">
        <f t="shared" si="6"/>
        <v>8.1499999999999986</v>
      </c>
      <c r="P91" s="23">
        <f t="shared" si="7"/>
        <v>8.043333333333333</v>
      </c>
    </row>
    <row r="92" spans="1:190" x14ac:dyDescent="0.25">
      <c r="A92" s="4">
        <f t="shared" si="8"/>
        <v>91</v>
      </c>
      <c r="B92" s="4" t="s">
        <v>542</v>
      </c>
      <c r="C92" s="4">
        <v>7.82</v>
      </c>
      <c r="D92" s="4">
        <v>1993</v>
      </c>
      <c r="E92" s="5" t="s">
        <v>10</v>
      </c>
      <c r="F92" s="10" t="s">
        <v>543</v>
      </c>
      <c r="G92" s="10" t="s">
        <v>544</v>
      </c>
      <c r="H92" s="10" t="s">
        <v>545</v>
      </c>
      <c r="I92" s="10" t="s">
        <v>546</v>
      </c>
      <c r="J92" s="10" t="s">
        <v>224</v>
      </c>
      <c r="K92" s="10" t="s">
        <v>231</v>
      </c>
      <c r="L92" t="s">
        <v>728</v>
      </c>
      <c r="M92" s="4">
        <v>6.9</v>
      </c>
      <c r="N92" s="4">
        <v>76</v>
      </c>
      <c r="O92" s="23">
        <f t="shared" si="6"/>
        <v>7.25</v>
      </c>
      <c r="P92" s="23">
        <f t="shared" si="7"/>
        <v>7.44</v>
      </c>
    </row>
    <row r="93" spans="1:190" x14ac:dyDescent="0.25">
      <c r="A93" s="4">
        <f t="shared" si="8"/>
        <v>92</v>
      </c>
      <c r="B93" s="4" t="s">
        <v>199</v>
      </c>
      <c r="C93" s="4">
        <v>7.81</v>
      </c>
      <c r="D93" s="4">
        <v>2005</v>
      </c>
      <c r="E93" s="10" t="s">
        <v>112</v>
      </c>
      <c r="F93" s="10" t="s">
        <v>113</v>
      </c>
      <c r="G93" s="10" t="s">
        <v>204</v>
      </c>
      <c r="H93" s="10" t="s">
        <v>202</v>
      </c>
      <c r="I93" s="10" t="s">
        <v>203</v>
      </c>
      <c r="J93" s="10" t="s">
        <v>234</v>
      </c>
      <c r="K93" s="10" t="s">
        <v>236</v>
      </c>
      <c r="M93" s="4">
        <v>7.1</v>
      </c>
      <c r="N93" s="4">
        <v>85</v>
      </c>
      <c r="O93" s="23">
        <f t="shared" si="6"/>
        <v>7.8</v>
      </c>
      <c r="P93" s="23">
        <f t="shared" si="7"/>
        <v>7.8033333333333337</v>
      </c>
    </row>
    <row r="94" spans="1:190" x14ac:dyDescent="0.25">
      <c r="A94" s="4">
        <f t="shared" si="8"/>
        <v>93</v>
      </c>
      <c r="B94" s="4" t="s">
        <v>451</v>
      </c>
      <c r="C94" s="4">
        <v>7.76</v>
      </c>
      <c r="D94" s="4">
        <v>2008</v>
      </c>
      <c r="E94" s="5" t="s">
        <v>158</v>
      </c>
      <c r="F94" s="10" t="s">
        <v>457</v>
      </c>
      <c r="G94" s="10" t="s">
        <v>458</v>
      </c>
      <c r="H94" s="10" t="s">
        <v>459</v>
      </c>
      <c r="I94" s="10" t="s">
        <v>464</v>
      </c>
      <c r="J94" s="10" t="s">
        <v>241</v>
      </c>
      <c r="K94" s="10" t="s">
        <v>224</v>
      </c>
      <c r="L94" s="10" t="s">
        <v>232</v>
      </c>
      <c r="M94" s="4">
        <v>7.5</v>
      </c>
      <c r="N94" s="4">
        <v>97</v>
      </c>
      <c r="O94" s="23">
        <f t="shared" si="6"/>
        <v>8.6</v>
      </c>
      <c r="P94" s="23">
        <f t="shared" si="7"/>
        <v>8.32</v>
      </c>
    </row>
    <row r="95" spans="1:190" x14ac:dyDescent="0.25">
      <c r="A95" s="4">
        <f t="shared" si="8"/>
        <v>94</v>
      </c>
      <c r="B95" s="4" t="s">
        <v>173</v>
      </c>
      <c r="C95" s="4">
        <v>7.75</v>
      </c>
      <c r="D95" s="4">
        <v>1996</v>
      </c>
      <c r="E95" s="10" t="s">
        <v>175</v>
      </c>
      <c r="F95" s="10" t="s">
        <v>178</v>
      </c>
      <c r="G95" s="10" t="s">
        <v>183</v>
      </c>
      <c r="H95" s="10" t="s">
        <v>184</v>
      </c>
      <c r="I95" s="10" t="s">
        <v>182</v>
      </c>
      <c r="J95" s="10" t="s">
        <v>225</v>
      </c>
      <c r="K95" s="10" t="s">
        <v>223</v>
      </c>
      <c r="L95" s="10" t="s">
        <v>224</v>
      </c>
      <c r="M95" s="4">
        <v>5.4</v>
      </c>
      <c r="N95" s="4">
        <v>20</v>
      </c>
      <c r="O95" s="23">
        <f t="shared" si="6"/>
        <v>3.7</v>
      </c>
      <c r="P95" s="23">
        <f t="shared" si="7"/>
        <v>5.05</v>
      </c>
    </row>
    <row r="96" spans="1:190" x14ac:dyDescent="0.25">
      <c r="A96" s="4">
        <f t="shared" si="8"/>
        <v>95</v>
      </c>
      <c r="B96" s="4" t="s">
        <v>412</v>
      </c>
      <c r="C96" s="4">
        <v>7.72</v>
      </c>
      <c r="D96" s="4">
        <v>2005</v>
      </c>
      <c r="E96" s="5" t="s">
        <v>13</v>
      </c>
      <c r="F96" s="10" t="s">
        <v>413</v>
      </c>
      <c r="G96" s="10" t="s">
        <v>414</v>
      </c>
      <c r="H96" s="10" t="s">
        <v>415</v>
      </c>
      <c r="I96" s="10" t="s">
        <v>416</v>
      </c>
      <c r="J96" s="10" t="s">
        <v>225</v>
      </c>
      <c r="K96" s="10" t="s">
        <v>234</v>
      </c>
      <c r="L96" s="10" t="s">
        <v>236</v>
      </c>
      <c r="M96" s="4">
        <v>5.6</v>
      </c>
      <c r="N96" s="4">
        <v>41</v>
      </c>
      <c r="O96" s="23">
        <f t="shared" si="6"/>
        <v>4.8499999999999996</v>
      </c>
      <c r="P96" s="23">
        <f t="shared" si="7"/>
        <v>5.8066666666666675</v>
      </c>
    </row>
    <row r="97" spans="1:16" x14ac:dyDescent="0.25">
      <c r="A97" s="4">
        <f t="shared" si="8"/>
        <v>96</v>
      </c>
      <c r="B97" s="4" t="s">
        <v>553</v>
      </c>
      <c r="C97" s="4">
        <v>7.65</v>
      </c>
      <c r="D97" s="4">
        <v>2015</v>
      </c>
      <c r="E97" s="5" t="s">
        <v>554</v>
      </c>
      <c r="F97" s="10" t="s">
        <v>555</v>
      </c>
      <c r="G97" s="10" t="s">
        <v>556</v>
      </c>
      <c r="H97" s="10" t="s">
        <v>557</v>
      </c>
      <c r="I97" s="10" t="s">
        <v>558</v>
      </c>
      <c r="J97" s="10" t="s">
        <v>241</v>
      </c>
      <c r="K97" s="10" t="s">
        <v>230</v>
      </c>
      <c r="L97" s="10" t="s">
        <v>224</v>
      </c>
      <c r="M97" s="4">
        <v>7.7</v>
      </c>
      <c r="N97" s="4">
        <v>92</v>
      </c>
      <c r="O97" s="23">
        <f t="shared" si="6"/>
        <v>8.4499999999999993</v>
      </c>
      <c r="P97" s="23">
        <f t="shared" si="7"/>
        <v>8.1833333333333336</v>
      </c>
    </row>
    <row r="98" spans="1:16" x14ac:dyDescent="0.25">
      <c r="A98" s="4">
        <f t="shared" si="8"/>
        <v>97</v>
      </c>
      <c r="B98" s="4" t="s">
        <v>563</v>
      </c>
      <c r="C98" s="4">
        <v>7.61</v>
      </c>
      <c r="D98" s="4">
        <v>2011</v>
      </c>
      <c r="E98" s="5" t="s">
        <v>568</v>
      </c>
      <c r="F98" s="10" t="s">
        <v>569</v>
      </c>
      <c r="G98" s="10" t="s">
        <v>570</v>
      </c>
      <c r="H98" s="10" t="s">
        <v>571</v>
      </c>
      <c r="I98" s="10" t="s">
        <v>572</v>
      </c>
      <c r="J98" s="10" t="s">
        <v>225</v>
      </c>
      <c r="K98" s="10" t="s">
        <v>234</v>
      </c>
      <c r="L98" t="s">
        <v>224</v>
      </c>
      <c r="M98" s="4">
        <v>6.8</v>
      </c>
      <c r="N98" s="4">
        <v>81</v>
      </c>
      <c r="O98" s="23">
        <f t="shared" ref="O98:O129" si="9">(M98+(N98/10))/2</f>
        <v>7.4499999999999993</v>
      </c>
      <c r="P98" s="23">
        <f t="shared" ref="P98:P129" si="10">(M98+C98+(N98/10))/3</f>
        <v>7.503333333333333</v>
      </c>
    </row>
    <row r="99" spans="1:16" x14ac:dyDescent="0.25">
      <c r="A99" s="4">
        <f t="shared" ref="A99:A141" si="11">A98+1</f>
        <v>98</v>
      </c>
      <c r="B99" s="4" t="s">
        <v>625</v>
      </c>
      <c r="C99" s="4">
        <v>7.57</v>
      </c>
      <c r="D99" s="4">
        <v>2015</v>
      </c>
      <c r="E99" s="10" t="s">
        <v>626</v>
      </c>
      <c r="F99" s="10" t="s">
        <v>137</v>
      </c>
      <c r="G99" s="10" t="s">
        <v>112</v>
      </c>
      <c r="H99" s="10" t="s">
        <v>59</v>
      </c>
      <c r="I99" s="10" t="s">
        <v>41</v>
      </c>
      <c r="J99" s="10" t="s">
        <v>224</v>
      </c>
      <c r="K99" s="10" t="s">
        <v>234</v>
      </c>
      <c r="L99" s="10" t="s">
        <v>235</v>
      </c>
      <c r="M99" s="4">
        <v>7.8</v>
      </c>
      <c r="N99" s="4">
        <v>89</v>
      </c>
      <c r="O99" s="23">
        <f t="shared" si="9"/>
        <v>8.35</v>
      </c>
      <c r="P99" s="23">
        <f t="shared" si="10"/>
        <v>8.0900000000000016</v>
      </c>
    </row>
    <row r="100" spans="1:16" x14ac:dyDescent="0.25">
      <c r="A100" s="4">
        <f t="shared" si="11"/>
        <v>99</v>
      </c>
      <c r="B100" s="4" t="s">
        <v>635</v>
      </c>
      <c r="C100" s="4">
        <v>7.56</v>
      </c>
      <c r="D100" s="4">
        <v>2001</v>
      </c>
      <c r="E100" s="10" t="s">
        <v>632</v>
      </c>
      <c r="F100" s="10" t="s">
        <v>59</v>
      </c>
      <c r="G100" s="10" t="s">
        <v>23</v>
      </c>
      <c r="H100" s="10" t="s">
        <v>633</v>
      </c>
      <c r="I100" s="10" t="s">
        <v>634</v>
      </c>
      <c r="J100" s="10" t="s">
        <v>230</v>
      </c>
      <c r="K100" s="10" t="s">
        <v>232</v>
      </c>
      <c r="M100" s="4">
        <v>6.5</v>
      </c>
      <c r="N100" s="4">
        <v>55</v>
      </c>
      <c r="O100" s="23">
        <f t="shared" si="9"/>
        <v>6</v>
      </c>
      <c r="P100" s="23">
        <f t="shared" si="10"/>
        <v>6.52</v>
      </c>
    </row>
    <row r="101" spans="1:16" x14ac:dyDescent="0.25">
      <c r="A101" s="4">
        <f t="shared" si="11"/>
        <v>100</v>
      </c>
      <c r="B101" s="4" t="s">
        <v>449</v>
      </c>
      <c r="C101" s="4">
        <v>7.48</v>
      </c>
      <c r="D101" s="4">
        <v>2012</v>
      </c>
      <c r="E101" s="5" t="s">
        <v>158</v>
      </c>
      <c r="F101" s="10" t="s">
        <v>452</v>
      </c>
      <c r="G101" s="10" t="s">
        <v>250</v>
      </c>
      <c r="H101" s="10" t="s">
        <v>454</v>
      </c>
      <c r="I101" s="10" t="s">
        <v>453</v>
      </c>
      <c r="J101" s="10" t="s">
        <v>223</v>
      </c>
      <c r="K101" s="10" t="s">
        <v>232</v>
      </c>
      <c r="L101" s="10" t="s">
        <v>237</v>
      </c>
      <c r="M101" s="4">
        <v>6.6</v>
      </c>
      <c r="N101" s="4">
        <v>55</v>
      </c>
      <c r="O101" s="23">
        <f t="shared" si="9"/>
        <v>6.05</v>
      </c>
      <c r="P101" s="23">
        <f t="shared" si="10"/>
        <v>6.5266666666666664</v>
      </c>
    </row>
    <row r="102" spans="1:16" x14ac:dyDescent="0.25">
      <c r="A102" s="4">
        <f t="shared" si="11"/>
        <v>101</v>
      </c>
      <c r="B102" s="4" t="s">
        <v>492</v>
      </c>
      <c r="C102" s="4">
        <v>7.46</v>
      </c>
      <c r="D102" s="4">
        <v>1986</v>
      </c>
      <c r="E102" s="5" t="s">
        <v>10</v>
      </c>
      <c r="F102" s="10" t="s">
        <v>493</v>
      </c>
      <c r="G102" s="10" t="s">
        <v>495</v>
      </c>
      <c r="H102" s="10" t="s">
        <v>496</v>
      </c>
      <c r="I102" s="10" t="s">
        <v>39</v>
      </c>
      <c r="J102" s="10" t="s">
        <v>225</v>
      </c>
      <c r="K102" s="10" t="s">
        <v>224</v>
      </c>
      <c r="M102" s="4">
        <v>7.2</v>
      </c>
      <c r="N102" s="4">
        <v>86</v>
      </c>
      <c r="O102" s="23">
        <f t="shared" si="9"/>
        <v>7.9</v>
      </c>
      <c r="P102" s="23">
        <f t="shared" si="10"/>
        <v>7.753333333333333</v>
      </c>
    </row>
    <row r="103" spans="1:16" x14ac:dyDescent="0.25">
      <c r="A103" s="4">
        <f t="shared" si="11"/>
        <v>102</v>
      </c>
      <c r="B103" s="4" t="s">
        <v>403</v>
      </c>
      <c r="C103" s="4">
        <v>7.45</v>
      </c>
      <c r="D103" s="4">
        <v>2017</v>
      </c>
      <c r="E103" s="5" t="s">
        <v>395</v>
      </c>
      <c r="F103" s="10" t="s">
        <v>404</v>
      </c>
      <c r="G103" s="10" t="s">
        <v>405</v>
      </c>
      <c r="H103" s="10" t="s">
        <v>406</v>
      </c>
      <c r="I103" s="10" t="s">
        <v>399</v>
      </c>
      <c r="J103" s="10" t="s">
        <v>223</v>
      </c>
      <c r="K103" s="10" t="s">
        <v>230</v>
      </c>
      <c r="L103" s="10" t="s">
        <v>232</v>
      </c>
      <c r="M103" s="4">
        <v>7.4</v>
      </c>
      <c r="N103" s="4">
        <v>89</v>
      </c>
      <c r="O103" s="23">
        <f t="shared" si="9"/>
        <v>8.15</v>
      </c>
      <c r="P103" s="23">
        <f t="shared" si="10"/>
        <v>7.916666666666667</v>
      </c>
    </row>
    <row r="104" spans="1:16" x14ac:dyDescent="0.25">
      <c r="A104" s="4">
        <f t="shared" si="11"/>
        <v>103</v>
      </c>
      <c r="B104" s="4" t="s">
        <v>646</v>
      </c>
      <c r="C104" s="4">
        <v>7.42</v>
      </c>
      <c r="D104" s="4">
        <v>1985</v>
      </c>
      <c r="E104" s="10" t="s">
        <v>648</v>
      </c>
      <c r="F104" s="10" t="s">
        <v>647</v>
      </c>
      <c r="G104" s="10" t="s">
        <v>649</v>
      </c>
      <c r="H104" s="10" t="s">
        <v>650</v>
      </c>
      <c r="I104" s="10" t="s">
        <v>651</v>
      </c>
      <c r="J104" s="10" t="s">
        <v>224</v>
      </c>
      <c r="K104" s="10" t="s">
        <v>234</v>
      </c>
      <c r="M104" s="4">
        <v>7.8</v>
      </c>
      <c r="N104" s="4">
        <v>89</v>
      </c>
      <c r="O104" s="23">
        <f t="shared" si="9"/>
        <v>8.35</v>
      </c>
      <c r="P104" s="23">
        <f t="shared" si="10"/>
        <v>8.0399999999999991</v>
      </c>
    </row>
    <row r="105" spans="1:16" x14ac:dyDescent="0.25">
      <c r="A105" s="4">
        <f t="shared" si="11"/>
        <v>104</v>
      </c>
      <c r="B105" s="4" t="s">
        <v>433</v>
      </c>
      <c r="C105" s="4">
        <v>7.38</v>
      </c>
      <c r="D105" s="4">
        <v>1992</v>
      </c>
      <c r="E105" s="5" t="s">
        <v>434</v>
      </c>
      <c r="F105" s="10" t="s">
        <v>340</v>
      </c>
      <c r="G105" s="10" t="s">
        <v>436</v>
      </c>
      <c r="H105" s="10" t="s">
        <v>435</v>
      </c>
      <c r="I105" s="10" t="s">
        <v>68</v>
      </c>
      <c r="J105" s="10" t="s">
        <v>230</v>
      </c>
      <c r="K105" s="10" t="s">
        <v>232</v>
      </c>
      <c r="L105" s="10" t="s">
        <v>727</v>
      </c>
      <c r="M105" s="4">
        <v>8.3000000000000007</v>
      </c>
      <c r="N105" s="4">
        <v>90</v>
      </c>
      <c r="O105" s="23">
        <f t="shared" si="9"/>
        <v>8.65</v>
      </c>
      <c r="P105" s="23">
        <f t="shared" si="10"/>
        <v>8.2266666666666666</v>
      </c>
    </row>
    <row r="106" spans="1:16" x14ac:dyDescent="0.25">
      <c r="A106" s="4">
        <f t="shared" si="11"/>
        <v>105</v>
      </c>
      <c r="B106" s="4" t="s">
        <v>109</v>
      </c>
      <c r="C106" s="4">
        <v>7.37</v>
      </c>
      <c r="D106" s="4">
        <v>2019</v>
      </c>
      <c r="E106" s="5" t="s">
        <v>34</v>
      </c>
      <c r="F106" s="10" t="s">
        <v>46</v>
      </c>
      <c r="G106" s="10" t="s">
        <v>36</v>
      </c>
      <c r="H106" s="10" t="s">
        <v>340</v>
      </c>
      <c r="I106" s="10" t="s">
        <v>39</v>
      </c>
      <c r="J106" s="10" t="s">
        <v>230</v>
      </c>
      <c r="K106" s="10" t="s">
        <v>224</v>
      </c>
      <c r="L106" s="10" t="s">
        <v>727</v>
      </c>
      <c r="M106" s="4">
        <v>7.8</v>
      </c>
      <c r="N106" s="4">
        <v>95</v>
      </c>
      <c r="O106" s="23">
        <f t="shared" si="9"/>
        <v>8.65</v>
      </c>
      <c r="P106" s="23">
        <f t="shared" si="10"/>
        <v>8.2233333333333345</v>
      </c>
    </row>
    <row r="107" spans="1:16" x14ac:dyDescent="0.25">
      <c r="A107" s="4">
        <f t="shared" si="11"/>
        <v>106</v>
      </c>
      <c r="B107" s="4" t="s">
        <v>629</v>
      </c>
      <c r="C107" s="4">
        <v>7.32</v>
      </c>
      <c r="D107" s="4">
        <v>2019</v>
      </c>
      <c r="E107" s="5" t="s">
        <v>16</v>
      </c>
      <c r="F107" s="10" t="s">
        <v>59</v>
      </c>
      <c r="G107" s="10" t="s">
        <v>265</v>
      </c>
      <c r="H107" s="10" t="s">
        <v>630</v>
      </c>
      <c r="I107" s="10" t="s">
        <v>68</v>
      </c>
      <c r="J107" s="10" t="s">
        <v>224</v>
      </c>
      <c r="K107" s="10" t="s">
        <v>234</v>
      </c>
      <c r="M107" s="4">
        <v>7.6</v>
      </c>
      <c r="N107" s="4">
        <v>86</v>
      </c>
      <c r="O107" s="23">
        <f t="shared" si="9"/>
        <v>8.1</v>
      </c>
      <c r="P107" s="23">
        <f t="shared" si="10"/>
        <v>7.84</v>
      </c>
    </row>
    <row r="108" spans="1:16" x14ac:dyDescent="0.25">
      <c r="A108" s="4">
        <f t="shared" si="11"/>
        <v>107</v>
      </c>
      <c r="B108" s="4" t="s">
        <v>486</v>
      </c>
      <c r="C108" s="4">
        <v>7.31</v>
      </c>
      <c r="D108" s="4">
        <v>1987</v>
      </c>
      <c r="E108" s="5" t="s">
        <v>74</v>
      </c>
      <c r="F108" s="10" t="s">
        <v>487</v>
      </c>
      <c r="G108" s="10" t="s">
        <v>34</v>
      </c>
      <c r="H108" s="10" t="s">
        <v>488</v>
      </c>
      <c r="I108" s="10" t="s">
        <v>49</v>
      </c>
      <c r="J108" s="10" t="s">
        <v>230</v>
      </c>
      <c r="K108" s="10" t="s">
        <v>232</v>
      </c>
      <c r="L108" s="10" t="s">
        <v>727</v>
      </c>
      <c r="M108" s="4">
        <v>7.8</v>
      </c>
      <c r="N108" s="4">
        <v>82</v>
      </c>
      <c r="O108" s="23">
        <f t="shared" si="9"/>
        <v>8</v>
      </c>
      <c r="P108" s="23">
        <f t="shared" si="10"/>
        <v>7.77</v>
      </c>
    </row>
    <row r="109" spans="1:16" x14ac:dyDescent="0.25">
      <c r="A109" s="4">
        <f t="shared" si="11"/>
        <v>108</v>
      </c>
      <c r="B109" s="4" t="s">
        <v>218</v>
      </c>
      <c r="C109" s="4">
        <v>7.29</v>
      </c>
      <c r="D109" s="4">
        <v>2006</v>
      </c>
      <c r="E109" s="5" t="s">
        <v>321</v>
      </c>
      <c r="F109" s="10" t="s">
        <v>322</v>
      </c>
      <c r="G109" s="10" t="s">
        <v>323</v>
      </c>
      <c r="H109" s="10" t="s">
        <v>324</v>
      </c>
      <c r="I109" s="10" t="s">
        <v>371</v>
      </c>
      <c r="J109" t="s">
        <v>225</v>
      </c>
      <c r="K109" t="s">
        <v>223</v>
      </c>
      <c r="L109" t="s">
        <v>224</v>
      </c>
      <c r="M109" s="4">
        <v>7.2</v>
      </c>
      <c r="N109" s="4">
        <v>82</v>
      </c>
      <c r="O109" s="23">
        <f t="shared" si="9"/>
        <v>7.6999999999999993</v>
      </c>
      <c r="P109" s="23">
        <f t="shared" si="10"/>
        <v>7.5633333333333326</v>
      </c>
    </row>
    <row r="110" spans="1:16" x14ac:dyDescent="0.25">
      <c r="A110" s="4">
        <f t="shared" si="11"/>
        <v>109</v>
      </c>
      <c r="B110" s="4" t="s">
        <v>101</v>
      </c>
      <c r="C110" s="4">
        <v>7.28</v>
      </c>
      <c r="D110" s="4">
        <v>2012</v>
      </c>
      <c r="E110" s="5" t="s">
        <v>102</v>
      </c>
      <c r="F110" s="10" t="s">
        <v>103</v>
      </c>
      <c r="G110" s="10" t="s">
        <v>332</v>
      </c>
      <c r="H110" s="10" t="s">
        <v>333</v>
      </c>
      <c r="I110" s="10" t="s">
        <v>104</v>
      </c>
      <c r="J110" s="10" t="s">
        <v>234</v>
      </c>
      <c r="M110" s="4">
        <v>6.6</v>
      </c>
      <c r="N110" s="4">
        <v>29</v>
      </c>
      <c r="O110" s="23">
        <f t="shared" si="9"/>
        <v>4.75</v>
      </c>
      <c r="P110" s="23">
        <f t="shared" si="10"/>
        <v>5.5933333333333328</v>
      </c>
    </row>
    <row r="111" spans="1:16" x14ac:dyDescent="0.25">
      <c r="A111" s="4">
        <f t="shared" si="11"/>
        <v>110</v>
      </c>
      <c r="B111" s="4" t="s">
        <v>211</v>
      </c>
      <c r="C111" s="4">
        <v>7.27</v>
      </c>
      <c r="D111" s="4">
        <v>2012</v>
      </c>
      <c r="E111" s="5" t="s">
        <v>341</v>
      </c>
      <c r="F111" s="10" t="s">
        <v>342</v>
      </c>
      <c r="G111" s="10" t="s">
        <v>343</v>
      </c>
      <c r="H111" s="10" t="s">
        <v>344</v>
      </c>
      <c r="I111" s="10" t="s">
        <v>212</v>
      </c>
      <c r="J111" s="10" t="s">
        <v>225</v>
      </c>
      <c r="K111" t="s">
        <v>224</v>
      </c>
      <c r="M111" s="4">
        <v>5.9</v>
      </c>
      <c r="N111" s="4">
        <v>41</v>
      </c>
      <c r="O111" s="23">
        <f t="shared" si="9"/>
        <v>5</v>
      </c>
      <c r="P111" s="23">
        <f t="shared" si="10"/>
        <v>5.7566666666666668</v>
      </c>
    </row>
    <row r="112" spans="1:16" x14ac:dyDescent="0.25">
      <c r="A112" s="4">
        <f t="shared" si="11"/>
        <v>111</v>
      </c>
      <c r="B112" s="4" t="s">
        <v>394</v>
      </c>
      <c r="C112" s="4">
        <v>7.25</v>
      </c>
      <c r="D112" s="4">
        <v>2014</v>
      </c>
      <c r="E112" s="5" t="s">
        <v>395</v>
      </c>
      <c r="F112" s="10" t="s">
        <v>396</v>
      </c>
      <c r="G112" s="10" t="s">
        <v>397</v>
      </c>
      <c r="H112" s="10" t="s">
        <v>398</v>
      </c>
      <c r="I112" s="10" t="s">
        <v>399</v>
      </c>
      <c r="J112" s="10" t="s">
        <v>223</v>
      </c>
      <c r="K112" s="10" t="s">
        <v>230</v>
      </c>
      <c r="L112" s="10" t="s">
        <v>232</v>
      </c>
      <c r="M112" s="4">
        <v>7.4</v>
      </c>
      <c r="N112" s="4">
        <v>86</v>
      </c>
      <c r="O112" s="23">
        <f t="shared" si="9"/>
        <v>8</v>
      </c>
      <c r="P112" s="23">
        <f t="shared" si="10"/>
        <v>7.75</v>
      </c>
    </row>
    <row r="113" spans="1:16" x14ac:dyDescent="0.25">
      <c r="A113" s="4">
        <f t="shared" si="11"/>
        <v>112</v>
      </c>
      <c r="B113" s="4" t="s">
        <v>605</v>
      </c>
      <c r="C113" s="4">
        <v>7.24</v>
      </c>
      <c r="D113" s="4">
        <v>2021</v>
      </c>
      <c r="E113" s="5" t="s">
        <v>606</v>
      </c>
      <c r="F113" s="10" t="s">
        <v>401</v>
      </c>
      <c r="G113" s="10" t="s">
        <v>607</v>
      </c>
      <c r="H113" s="10" t="s">
        <v>608</v>
      </c>
      <c r="I113" s="10" t="s">
        <v>558</v>
      </c>
      <c r="J113" s="10" t="s">
        <v>238</v>
      </c>
      <c r="K113" s="10" t="s">
        <v>224</v>
      </c>
      <c r="L113" s="10" t="s">
        <v>237</v>
      </c>
      <c r="M113" s="4">
        <v>8</v>
      </c>
      <c r="N113" s="4">
        <v>83</v>
      </c>
      <c r="O113" s="23">
        <f t="shared" si="9"/>
        <v>8.15</v>
      </c>
      <c r="P113" s="23">
        <f t="shared" si="10"/>
        <v>7.8466666666666667</v>
      </c>
    </row>
    <row r="114" spans="1:16" x14ac:dyDescent="0.25">
      <c r="A114" s="4">
        <f t="shared" si="11"/>
        <v>113</v>
      </c>
      <c r="B114" s="4" t="s">
        <v>244</v>
      </c>
      <c r="C114" s="4">
        <v>7.15</v>
      </c>
      <c r="D114" s="4">
        <v>2011</v>
      </c>
      <c r="E114" s="10" t="s">
        <v>163</v>
      </c>
      <c r="F114" s="10" t="s">
        <v>164</v>
      </c>
      <c r="G114" s="10" t="s">
        <v>166</v>
      </c>
      <c r="H114" s="10" t="s">
        <v>165</v>
      </c>
      <c r="I114" s="10" t="s">
        <v>167</v>
      </c>
      <c r="J114" s="10" t="s">
        <v>234</v>
      </c>
      <c r="K114" s="10"/>
      <c r="M114" s="4">
        <v>6.5</v>
      </c>
      <c r="N114" s="4">
        <v>34</v>
      </c>
      <c r="O114" s="23">
        <f t="shared" si="9"/>
        <v>4.95</v>
      </c>
      <c r="P114" s="23">
        <f t="shared" si="10"/>
        <v>5.6833333333333336</v>
      </c>
    </row>
    <row r="115" spans="1:16" x14ac:dyDescent="0.25">
      <c r="A115" s="4">
        <f t="shared" si="11"/>
        <v>114</v>
      </c>
      <c r="B115" s="4" t="s">
        <v>135</v>
      </c>
      <c r="C115" s="4">
        <v>7.09</v>
      </c>
      <c r="D115" s="4">
        <v>2013</v>
      </c>
      <c r="E115" s="10" t="s">
        <v>13</v>
      </c>
      <c r="F115" s="10" t="s">
        <v>111</v>
      </c>
      <c r="G115" s="10" t="s">
        <v>112</v>
      </c>
      <c r="H115" s="10" t="s">
        <v>113</v>
      </c>
      <c r="I115" s="10" t="s">
        <v>41</v>
      </c>
      <c r="J115" s="10" t="s">
        <v>234</v>
      </c>
      <c r="M115" s="4">
        <v>6.3</v>
      </c>
      <c r="N115" s="4">
        <v>75</v>
      </c>
      <c r="O115" s="23">
        <f t="shared" si="9"/>
        <v>6.9</v>
      </c>
      <c r="P115" s="23">
        <f t="shared" si="10"/>
        <v>6.9633333333333338</v>
      </c>
    </row>
    <row r="116" spans="1:16" x14ac:dyDescent="0.25">
      <c r="A116" s="4">
        <f t="shared" si="11"/>
        <v>115</v>
      </c>
      <c r="B116" s="4" t="s">
        <v>117</v>
      </c>
      <c r="C116" s="4">
        <v>7.08</v>
      </c>
      <c r="D116" s="4">
        <v>2013</v>
      </c>
      <c r="E116" s="10" t="s">
        <v>16</v>
      </c>
      <c r="F116" s="10" t="s">
        <v>118</v>
      </c>
      <c r="G116" s="10" t="s">
        <v>329</v>
      </c>
      <c r="H116" s="10" t="s">
        <v>330</v>
      </c>
      <c r="I116" s="10" t="s">
        <v>119</v>
      </c>
      <c r="J116" s="10" t="s">
        <v>224</v>
      </c>
      <c r="K116" s="10" t="s">
        <v>236</v>
      </c>
      <c r="L116" s="10" t="s">
        <v>729</v>
      </c>
      <c r="M116" s="4">
        <v>7.2</v>
      </c>
      <c r="N116" s="4">
        <v>48</v>
      </c>
      <c r="O116" s="23">
        <f t="shared" si="9"/>
        <v>6</v>
      </c>
      <c r="P116" s="23">
        <f t="shared" si="10"/>
        <v>6.36</v>
      </c>
    </row>
    <row r="117" spans="1:16" x14ac:dyDescent="0.25">
      <c r="A117" s="4">
        <f t="shared" si="11"/>
        <v>116</v>
      </c>
      <c r="B117" s="4" t="s">
        <v>243</v>
      </c>
      <c r="C117" s="4">
        <v>7.05</v>
      </c>
      <c r="D117" s="4">
        <v>2013</v>
      </c>
      <c r="E117" s="10" t="s">
        <v>163</v>
      </c>
      <c r="F117" s="10" t="s">
        <v>164</v>
      </c>
      <c r="G117" s="10" t="s">
        <v>166</v>
      </c>
      <c r="H117" s="10" t="s">
        <v>165</v>
      </c>
      <c r="I117" s="10" t="s">
        <v>167</v>
      </c>
      <c r="J117" s="10" t="s">
        <v>234</v>
      </c>
      <c r="K117" s="10"/>
      <c r="M117" s="4">
        <v>5.8</v>
      </c>
      <c r="N117" s="4">
        <v>20</v>
      </c>
      <c r="O117" s="23">
        <f t="shared" si="9"/>
        <v>3.9</v>
      </c>
      <c r="P117" s="23">
        <f t="shared" si="10"/>
        <v>4.95</v>
      </c>
    </row>
    <row r="118" spans="1:16" x14ac:dyDescent="0.25">
      <c r="A118" s="4">
        <f t="shared" si="11"/>
        <v>117</v>
      </c>
      <c r="B118" s="4" t="s">
        <v>208</v>
      </c>
      <c r="C118" s="4">
        <v>6.97</v>
      </c>
      <c r="D118" s="4">
        <v>2009</v>
      </c>
      <c r="E118" s="10" t="s">
        <v>308</v>
      </c>
      <c r="F118" s="10" t="s">
        <v>309</v>
      </c>
      <c r="G118" s="10" t="s">
        <v>310</v>
      </c>
      <c r="H118" s="10" t="s">
        <v>311</v>
      </c>
      <c r="I118" s="10" t="s">
        <v>209</v>
      </c>
      <c r="J118" t="s">
        <v>225</v>
      </c>
      <c r="K118" t="s">
        <v>224</v>
      </c>
      <c r="L118" s="10" t="s">
        <v>235</v>
      </c>
      <c r="M118" s="4">
        <v>7.6</v>
      </c>
      <c r="N118" s="4">
        <v>66</v>
      </c>
      <c r="O118" s="23">
        <f t="shared" si="9"/>
        <v>7.1</v>
      </c>
      <c r="P118" s="23">
        <f t="shared" si="10"/>
        <v>7.0566666666666675</v>
      </c>
    </row>
    <row r="119" spans="1:16" x14ac:dyDescent="0.25">
      <c r="A119" s="4">
        <f t="shared" si="11"/>
        <v>118</v>
      </c>
      <c r="B119" s="4" t="s">
        <v>198</v>
      </c>
      <c r="C119" s="4">
        <v>6.95</v>
      </c>
      <c r="D119" s="4">
        <v>1994</v>
      </c>
      <c r="E119" s="10" t="s">
        <v>314</v>
      </c>
      <c r="F119" s="10" t="s">
        <v>315</v>
      </c>
      <c r="G119" s="10" t="s">
        <v>316</v>
      </c>
      <c r="H119" s="10" t="s">
        <v>317</v>
      </c>
      <c r="I119" s="10" t="s">
        <v>201</v>
      </c>
      <c r="J119" t="s">
        <v>225</v>
      </c>
      <c r="K119" t="s">
        <v>240</v>
      </c>
      <c r="L119" s="10" t="s">
        <v>234</v>
      </c>
      <c r="M119" s="4">
        <v>6.4</v>
      </c>
      <c r="N119" s="4">
        <v>36</v>
      </c>
      <c r="O119" s="23">
        <f t="shared" si="9"/>
        <v>5</v>
      </c>
      <c r="P119" s="23">
        <f t="shared" si="10"/>
        <v>5.6500000000000012</v>
      </c>
    </row>
    <row r="120" spans="1:16" x14ac:dyDescent="0.25">
      <c r="A120" s="4">
        <f t="shared" si="11"/>
        <v>119</v>
      </c>
      <c r="B120" s="4" t="s">
        <v>450</v>
      </c>
      <c r="C120" s="4">
        <v>6.88</v>
      </c>
      <c r="D120" s="4">
        <v>2016</v>
      </c>
      <c r="E120" s="10" t="s">
        <v>23</v>
      </c>
      <c r="F120" s="10" t="s">
        <v>455</v>
      </c>
      <c r="G120" s="10" t="s">
        <v>387</v>
      </c>
      <c r="H120" s="10" t="s">
        <v>456</v>
      </c>
      <c r="I120" s="10" t="s">
        <v>370</v>
      </c>
      <c r="J120" s="10" t="s">
        <v>223</v>
      </c>
      <c r="K120" s="10" t="s">
        <v>232</v>
      </c>
      <c r="L120" s="10" t="s">
        <v>237</v>
      </c>
      <c r="M120" s="4">
        <v>6.6</v>
      </c>
      <c r="N120" s="4">
        <v>54</v>
      </c>
      <c r="O120" s="23">
        <f t="shared" si="9"/>
        <v>6</v>
      </c>
      <c r="P120" s="23">
        <f t="shared" si="10"/>
        <v>6.2933333333333339</v>
      </c>
    </row>
    <row r="121" spans="1:16" x14ac:dyDescent="0.25">
      <c r="A121" s="4">
        <f t="shared" si="11"/>
        <v>120</v>
      </c>
      <c r="B121" s="4" t="s">
        <v>210</v>
      </c>
      <c r="C121" s="4">
        <v>6.82</v>
      </c>
      <c r="D121" s="4">
        <v>2010</v>
      </c>
      <c r="E121" s="5" t="s">
        <v>16</v>
      </c>
      <c r="F121" s="10" t="s">
        <v>334</v>
      </c>
      <c r="G121" s="10" t="s">
        <v>335</v>
      </c>
      <c r="H121" s="10" t="s">
        <v>336</v>
      </c>
      <c r="I121" s="10" t="s">
        <v>39</v>
      </c>
      <c r="J121" s="10" t="s">
        <v>637</v>
      </c>
      <c r="K121" t="s">
        <v>231</v>
      </c>
      <c r="L121" t="s">
        <v>232</v>
      </c>
      <c r="M121" s="4">
        <v>8.1999999999999993</v>
      </c>
      <c r="N121" s="4">
        <v>68</v>
      </c>
      <c r="O121" s="23">
        <f t="shared" si="9"/>
        <v>7.5</v>
      </c>
      <c r="P121" s="23">
        <f t="shared" si="10"/>
        <v>7.2733333333333334</v>
      </c>
    </row>
    <row r="122" spans="1:16" x14ac:dyDescent="0.25">
      <c r="A122" s="4">
        <f t="shared" si="11"/>
        <v>121</v>
      </c>
      <c r="B122" s="4" t="s">
        <v>226</v>
      </c>
      <c r="C122" s="4">
        <v>6.75</v>
      </c>
      <c r="D122" s="4">
        <v>2008</v>
      </c>
      <c r="E122" s="10" t="s">
        <v>34</v>
      </c>
      <c r="F122" s="10" t="s">
        <v>46</v>
      </c>
      <c r="G122" s="10" t="s">
        <v>227</v>
      </c>
      <c r="H122" s="10" t="s">
        <v>228</v>
      </c>
      <c r="I122" s="10" t="s">
        <v>229</v>
      </c>
      <c r="J122" s="10" t="s">
        <v>230</v>
      </c>
      <c r="K122" s="10" t="s">
        <v>231</v>
      </c>
      <c r="L122" s="10" t="s">
        <v>232</v>
      </c>
      <c r="M122" s="4">
        <v>6</v>
      </c>
      <c r="N122" s="4">
        <v>18</v>
      </c>
      <c r="O122" s="23">
        <f t="shared" si="9"/>
        <v>3.9</v>
      </c>
      <c r="P122" s="23">
        <f t="shared" si="10"/>
        <v>4.8500000000000005</v>
      </c>
    </row>
    <row r="123" spans="1:16" x14ac:dyDescent="0.25">
      <c r="A123" s="4">
        <f t="shared" si="11"/>
        <v>122</v>
      </c>
      <c r="B123" s="4" t="s">
        <v>120</v>
      </c>
      <c r="C123" s="4">
        <v>6.74</v>
      </c>
      <c r="D123" s="4">
        <v>2012</v>
      </c>
      <c r="E123" s="5" t="s">
        <v>28</v>
      </c>
      <c r="F123" s="10" t="s">
        <v>121</v>
      </c>
      <c r="G123" s="10" t="s">
        <v>122</v>
      </c>
      <c r="H123" s="10" t="s">
        <v>347</v>
      </c>
      <c r="I123" s="10" t="s">
        <v>122</v>
      </c>
      <c r="J123" s="10" t="s">
        <v>234</v>
      </c>
      <c r="M123" s="4">
        <v>6.9</v>
      </c>
      <c r="N123" s="4">
        <v>69</v>
      </c>
      <c r="O123" s="23">
        <f t="shared" si="9"/>
        <v>6.9</v>
      </c>
      <c r="P123" s="23">
        <f t="shared" si="10"/>
        <v>6.8466666666666667</v>
      </c>
    </row>
    <row r="124" spans="1:16" x14ac:dyDescent="0.25">
      <c r="A124" s="4">
        <f t="shared" si="11"/>
        <v>123</v>
      </c>
      <c r="B124" s="4" t="s">
        <v>136</v>
      </c>
      <c r="C124" s="4">
        <v>6.68</v>
      </c>
      <c r="D124" s="4">
        <v>2010</v>
      </c>
      <c r="E124" s="10" t="s">
        <v>28</v>
      </c>
      <c r="F124" s="10" t="s">
        <v>137</v>
      </c>
      <c r="G124" s="10" t="s">
        <v>138</v>
      </c>
      <c r="H124" s="10" t="s">
        <v>357</v>
      </c>
      <c r="I124" s="10" t="s">
        <v>139</v>
      </c>
      <c r="J124" s="10" t="s">
        <v>225</v>
      </c>
      <c r="K124" s="10" t="s">
        <v>223</v>
      </c>
      <c r="L124" s="10" t="s">
        <v>224</v>
      </c>
      <c r="M124" s="4">
        <v>7.8</v>
      </c>
      <c r="N124" s="4">
        <v>91</v>
      </c>
      <c r="O124" s="23">
        <f t="shared" si="9"/>
        <v>8.4499999999999993</v>
      </c>
      <c r="P124" s="23">
        <f t="shared" si="10"/>
        <v>7.8599999999999994</v>
      </c>
    </row>
    <row r="125" spans="1:16" x14ac:dyDescent="0.25">
      <c r="A125" s="4">
        <f t="shared" si="11"/>
        <v>124</v>
      </c>
      <c r="B125" s="4" t="s">
        <v>123</v>
      </c>
      <c r="C125" s="4">
        <v>6.62</v>
      </c>
      <c r="D125" s="4">
        <v>2010</v>
      </c>
      <c r="E125" s="5" t="s">
        <v>51</v>
      </c>
      <c r="F125" s="10" t="s">
        <v>125</v>
      </c>
      <c r="G125" s="10" t="s">
        <v>233</v>
      </c>
      <c r="H125" s="10" t="s">
        <v>124</v>
      </c>
      <c r="I125" s="10" t="s">
        <v>52</v>
      </c>
      <c r="J125" s="10" t="s">
        <v>234</v>
      </c>
      <c r="M125" s="4">
        <v>5.9</v>
      </c>
      <c r="N125" s="4">
        <v>10</v>
      </c>
      <c r="O125" s="23">
        <f t="shared" si="9"/>
        <v>3.45</v>
      </c>
      <c r="P125" s="23">
        <f t="shared" si="10"/>
        <v>4.5066666666666668</v>
      </c>
    </row>
    <row r="126" spans="1:16" x14ac:dyDescent="0.25">
      <c r="A126" s="4">
        <f t="shared" si="11"/>
        <v>125</v>
      </c>
      <c r="B126" s="4" t="s">
        <v>547</v>
      </c>
      <c r="C126" s="4">
        <v>6.61</v>
      </c>
      <c r="D126" s="4">
        <v>2023</v>
      </c>
      <c r="E126" s="5" t="s">
        <v>548</v>
      </c>
      <c r="F126" s="10" t="s">
        <v>549</v>
      </c>
      <c r="G126" s="10" t="s">
        <v>550</v>
      </c>
      <c r="H126" s="10" t="s">
        <v>552</v>
      </c>
      <c r="I126" s="10" t="s">
        <v>551</v>
      </c>
      <c r="J126" s="10" t="s">
        <v>223</v>
      </c>
      <c r="K126" s="10" t="s">
        <v>235</v>
      </c>
      <c r="L126" t="s">
        <v>237</v>
      </c>
      <c r="M126" s="4">
        <v>6.6</v>
      </c>
      <c r="N126" s="4">
        <v>58</v>
      </c>
      <c r="O126" s="23">
        <f t="shared" si="9"/>
        <v>6.1999999999999993</v>
      </c>
      <c r="P126" s="23">
        <f t="shared" si="10"/>
        <v>6.3366666666666669</v>
      </c>
    </row>
    <row r="127" spans="1:16" x14ac:dyDescent="0.25">
      <c r="A127" s="4">
        <f t="shared" si="11"/>
        <v>126</v>
      </c>
      <c r="B127" s="4" t="s">
        <v>108</v>
      </c>
      <c r="C127" s="4">
        <v>6.54</v>
      </c>
      <c r="D127" s="4">
        <v>1976</v>
      </c>
      <c r="E127" s="10" t="s">
        <v>34</v>
      </c>
      <c r="F127" s="10" t="s">
        <v>361</v>
      </c>
      <c r="G127" s="10" t="s">
        <v>362</v>
      </c>
      <c r="H127" s="10" t="s">
        <v>363</v>
      </c>
      <c r="I127" s="10" t="s">
        <v>39</v>
      </c>
      <c r="J127" s="10" t="s">
        <v>230</v>
      </c>
      <c r="K127" s="10" t="s">
        <v>224</v>
      </c>
      <c r="M127" s="4">
        <v>8.1999999999999993</v>
      </c>
      <c r="N127" s="4">
        <v>96</v>
      </c>
      <c r="O127" s="23">
        <f t="shared" si="9"/>
        <v>8.8999999999999986</v>
      </c>
      <c r="P127" s="23">
        <f t="shared" si="10"/>
        <v>8.1133333333333315</v>
      </c>
    </row>
    <row r="128" spans="1:16" x14ac:dyDescent="0.25">
      <c r="A128" s="4">
        <f t="shared" si="11"/>
        <v>127</v>
      </c>
      <c r="B128" s="4" t="s">
        <v>460</v>
      </c>
      <c r="C128" s="4">
        <v>6.52</v>
      </c>
      <c r="D128" s="4">
        <v>2015</v>
      </c>
      <c r="E128" s="5" t="s">
        <v>13</v>
      </c>
      <c r="F128" s="10" t="s">
        <v>28</v>
      </c>
      <c r="G128" s="10" t="s">
        <v>461</v>
      </c>
      <c r="H128" s="10" t="s">
        <v>462</v>
      </c>
      <c r="I128" s="10" t="s">
        <v>463</v>
      </c>
      <c r="J128" s="10" t="s">
        <v>234</v>
      </c>
      <c r="K128" s="10" t="s">
        <v>240</v>
      </c>
      <c r="M128" s="4">
        <v>6.2</v>
      </c>
      <c r="N128" s="4">
        <v>30</v>
      </c>
      <c r="O128" s="23">
        <f t="shared" si="9"/>
        <v>4.5999999999999996</v>
      </c>
      <c r="P128" s="23">
        <f t="shared" si="10"/>
        <v>5.2399999999999993</v>
      </c>
    </row>
    <row r="129" spans="1:16" x14ac:dyDescent="0.25">
      <c r="A129" s="4">
        <f t="shared" si="11"/>
        <v>128</v>
      </c>
      <c r="B129" s="4" t="s">
        <v>140</v>
      </c>
      <c r="C129" s="4">
        <v>6.49</v>
      </c>
      <c r="D129" s="4">
        <v>1993</v>
      </c>
      <c r="E129" s="5" t="s">
        <v>141</v>
      </c>
      <c r="F129" s="10" t="s">
        <v>11</v>
      </c>
      <c r="G129" s="10" t="s">
        <v>345</v>
      </c>
      <c r="H129" s="10" t="s">
        <v>346</v>
      </c>
      <c r="I129" s="10" t="s">
        <v>142</v>
      </c>
      <c r="J129" s="10" t="s">
        <v>432</v>
      </c>
      <c r="K129" s="10" t="s">
        <v>224</v>
      </c>
      <c r="L129" s="10" t="s">
        <v>235</v>
      </c>
      <c r="M129" s="4">
        <v>7.6</v>
      </c>
      <c r="N129" s="4">
        <v>65</v>
      </c>
      <c r="O129" s="23">
        <f t="shared" si="9"/>
        <v>7.05</v>
      </c>
      <c r="P129" s="23">
        <f t="shared" si="10"/>
        <v>6.8633333333333333</v>
      </c>
    </row>
    <row r="130" spans="1:16" x14ac:dyDescent="0.25">
      <c r="A130" s="4">
        <f t="shared" si="11"/>
        <v>129</v>
      </c>
      <c r="B130" s="4" t="s">
        <v>658</v>
      </c>
      <c r="C130" s="4">
        <v>6.47</v>
      </c>
      <c r="D130" s="4">
        <v>1977</v>
      </c>
      <c r="E130" s="10" t="s">
        <v>493</v>
      </c>
      <c r="F130" s="10" t="s">
        <v>659</v>
      </c>
      <c r="G130" s="10" t="s">
        <v>660</v>
      </c>
      <c r="H130" s="10" t="s">
        <v>661</v>
      </c>
      <c r="I130" s="10" t="s">
        <v>662</v>
      </c>
      <c r="J130" s="10" t="s">
        <v>225</v>
      </c>
      <c r="K130" s="10" t="s">
        <v>224</v>
      </c>
      <c r="L130" t="s">
        <v>234</v>
      </c>
      <c r="M130" s="4">
        <v>7.3</v>
      </c>
      <c r="N130" s="4">
        <v>85</v>
      </c>
      <c r="O130" s="23">
        <f t="shared" ref="O130:O161" si="12">(M130+(N130/10))/2</f>
        <v>7.9</v>
      </c>
      <c r="P130" s="23">
        <f t="shared" ref="P130:P141" si="13">(M130+C130+(N130/10))/3</f>
        <v>7.4233333333333329</v>
      </c>
    </row>
    <row r="131" spans="1:16" x14ac:dyDescent="0.25">
      <c r="A131" s="4">
        <f t="shared" si="11"/>
        <v>130</v>
      </c>
      <c r="B131" s="4" t="s">
        <v>105</v>
      </c>
      <c r="C131" s="4">
        <v>6.45</v>
      </c>
      <c r="D131" s="4">
        <v>1980</v>
      </c>
      <c r="E131" s="10" t="s">
        <v>34</v>
      </c>
      <c r="F131" s="10" t="s">
        <v>36</v>
      </c>
      <c r="G131" s="10" t="s">
        <v>38</v>
      </c>
      <c r="H131" s="10" t="s">
        <v>356</v>
      </c>
      <c r="I131" s="10" t="s">
        <v>39</v>
      </c>
      <c r="J131" s="10" t="s">
        <v>225</v>
      </c>
      <c r="K131" s="10" t="s">
        <v>235</v>
      </c>
      <c r="L131" s="10" t="s">
        <v>224</v>
      </c>
      <c r="M131" s="4">
        <v>8.1</v>
      </c>
      <c r="N131" s="4">
        <v>93</v>
      </c>
      <c r="O131" s="23">
        <f t="shared" si="12"/>
        <v>8.6999999999999993</v>
      </c>
      <c r="P131" s="23">
        <f t="shared" si="13"/>
        <v>7.95</v>
      </c>
    </row>
    <row r="132" spans="1:16" x14ac:dyDescent="0.25">
      <c r="A132" s="4">
        <f t="shared" si="11"/>
        <v>131</v>
      </c>
      <c r="B132" s="4" t="s">
        <v>106</v>
      </c>
      <c r="C132" s="4">
        <v>6.42</v>
      </c>
      <c r="D132" s="4">
        <v>2009</v>
      </c>
      <c r="E132" s="10" t="s">
        <v>337</v>
      </c>
      <c r="F132" s="10" t="s">
        <v>338</v>
      </c>
      <c r="G132" s="10" t="s">
        <v>227</v>
      </c>
      <c r="H132" s="10" t="s">
        <v>339</v>
      </c>
      <c r="I132" s="10" t="s">
        <v>107</v>
      </c>
      <c r="J132" s="10" t="s">
        <v>238</v>
      </c>
      <c r="K132" t="s">
        <v>231</v>
      </c>
      <c r="L132" s="10" t="s">
        <v>224</v>
      </c>
      <c r="M132" s="4">
        <v>8.1999999999999993</v>
      </c>
      <c r="N132" s="4">
        <v>96</v>
      </c>
      <c r="O132" s="23">
        <f t="shared" si="12"/>
        <v>8.8999999999999986</v>
      </c>
      <c r="P132" s="23">
        <f t="shared" si="13"/>
        <v>8.0733333333333324</v>
      </c>
    </row>
    <row r="133" spans="1:16" x14ac:dyDescent="0.25">
      <c r="A133" s="4">
        <f t="shared" si="11"/>
        <v>132</v>
      </c>
      <c r="B133" s="4" t="s">
        <v>149</v>
      </c>
      <c r="C133" s="4">
        <v>6.31</v>
      </c>
      <c r="D133" s="4">
        <v>2008</v>
      </c>
      <c r="E133" s="10" t="s">
        <v>13</v>
      </c>
      <c r="F133" s="10" t="s">
        <v>358</v>
      </c>
      <c r="G133" s="10" t="s">
        <v>359</v>
      </c>
      <c r="H133" s="10" t="s">
        <v>360</v>
      </c>
      <c r="I133" s="10" t="s">
        <v>150</v>
      </c>
      <c r="J133" s="10" t="s">
        <v>234</v>
      </c>
      <c r="K133" t="s">
        <v>225</v>
      </c>
      <c r="M133" s="4">
        <v>5.8</v>
      </c>
      <c r="N133" s="4">
        <v>22</v>
      </c>
      <c r="O133" s="23">
        <f t="shared" si="12"/>
        <v>4</v>
      </c>
      <c r="P133" s="23">
        <f t="shared" si="13"/>
        <v>4.7699999999999996</v>
      </c>
    </row>
    <row r="134" spans="1:16" x14ac:dyDescent="0.25">
      <c r="A134" s="4">
        <f t="shared" si="11"/>
        <v>133</v>
      </c>
      <c r="B134" s="4" t="s">
        <v>475</v>
      </c>
      <c r="C134" s="4">
        <v>6.3</v>
      </c>
      <c r="D134" s="4">
        <v>1951</v>
      </c>
      <c r="E134" s="10" t="s">
        <v>534</v>
      </c>
      <c r="F134" s="10" t="s">
        <v>472</v>
      </c>
      <c r="G134" s="10" t="s">
        <v>473</v>
      </c>
      <c r="H134" s="10" t="s">
        <v>476</v>
      </c>
      <c r="I134" s="10" t="s">
        <v>474</v>
      </c>
      <c r="J134" s="10" t="s">
        <v>224</v>
      </c>
      <c r="K134" s="10" t="s">
        <v>729</v>
      </c>
      <c r="M134" s="4">
        <v>7.9</v>
      </c>
      <c r="N134" s="4">
        <v>97</v>
      </c>
      <c r="O134" s="23">
        <f t="shared" si="12"/>
        <v>8.8000000000000007</v>
      </c>
      <c r="P134" s="23">
        <f t="shared" si="13"/>
        <v>7.9666666666666659</v>
      </c>
    </row>
    <row r="135" spans="1:16" x14ac:dyDescent="0.25">
      <c r="A135" s="4">
        <f t="shared" si="11"/>
        <v>134</v>
      </c>
      <c r="B135" s="4" t="s">
        <v>132</v>
      </c>
      <c r="C135" s="4">
        <v>6.27</v>
      </c>
      <c r="D135" s="4">
        <v>2016</v>
      </c>
      <c r="E135" s="10" t="s">
        <v>133</v>
      </c>
      <c r="F135" s="10" t="s">
        <v>134</v>
      </c>
      <c r="G135" s="10" t="s">
        <v>352</v>
      </c>
      <c r="H135" s="10" t="s">
        <v>351</v>
      </c>
      <c r="I135" s="10" t="s">
        <v>133</v>
      </c>
      <c r="J135" s="10" t="s">
        <v>224</v>
      </c>
      <c r="M135" s="4">
        <v>7.2</v>
      </c>
      <c r="N135" s="4">
        <v>92</v>
      </c>
      <c r="O135" s="23">
        <f t="shared" si="12"/>
        <v>8.1999999999999993</v>
      </c>
      <c r="P135" s="23">
        <f t="shared" si="13"/>
        <v>7.5566666666666658</v>
      </c>
    </row>
    <row r="136" spans="1:16" x14ac:dyDescent="0.25">
      <c r="A136" s="4">
        <f t="shared" si="11"/>
        <v>135</v>
      </c>
      <c r="B136" s="4" t="s">
        <v>128</v>
      </c>
      <c r="C136" s="4">
        <v>6.25</v>
      </c>
      <c r="D136" s="4">
        <v>2014</v>
      </c>
      <c r="E136" s="10" t="s">
        <v>129</v>
      </c>
      <c r="F136" s="10" t="s">
        <v>130</v>
      </c>
      <c r="G136" s="10" t="s">
        <v>349</v>
      </c>
      <c r="H136" s="10" t="s">
        <v>350</v>
      </c>
      <c r="I136" s="10" t="s">
        <v>131</v>
      </c>
      <c r="J136" s="10" t="s">
        <v>224</v>
      </c>
      <c r="K136" s="10" t="s">
        <v>234</v>
      </c>
      <c r="M136" s="4">
        <v>7.2</v>
      </c>
      <c r="N136" s="4">
        <v>78</v>
      </c>
      <c r="O136" s="23">
        <f t="shared" si="12"/>
        <v>7.5</v>
      </c>
      <c r="P136" s="23">
        <f t="shared" si="13"/>
        <v>7.083333333333333</v>
      </c>
    </row>
    <row r="137" spans="1:16" x14ac:dyDescent="0.25">
      <c r="A137" s="4">
        <f t="shared" si="11"/>
        <v>136</v>
      </c>
      <c r="B137" s="4" t="s">
        <v>126</v>
      </c>
      <c r="C137" s="4">
        <v>5.88</v>
      </c>
      <c r="D137" s="4">
        <v>2007</v>
      </c>
      <c r="E137" s="5" t="s">
        <v>51</v>
      </c>
      <c r="F137" s="10" t="s">
        <v>125</v>
      </c>
      <c r="G137" s="10" t="s">
        <v>127</v>
      </c>
      <c r="H137" s="10" t="s">
        <v>348</v>
      </c>
      <c r="I137" s="10" t="s">
        <v>52</v>
      </c>
      <c r="J137" s="10" t="s">
        <v>236</v>
      </c>
      <c r="K137" s="10" t="s">
        <v>234</v>
      </c>
      <c r="M137" s="4">
        <v>5.9</v>
      </c>
      <c r="N137" s="4">
        <v>14</v>
      </c>
      <c r="O137" s="23">
        <f t="shared" si="12"/>
        <v>3.6500000000000004</v>
      </c>
      <c r="P137" s="23">
        <f t="shared" si="13"/>
        <v>4.3933333333333335</v>
      </c>
    </row>
    <row r="138" spans="1:16" x14ac:dyDescent="0.25">
      <c r="A138" s="4">
        <f t="shared" si="11"/>
        <v>137</v>
      </c>
      <c r="B138" s="4" t="s">
        <v>213</v>
      </c>
      <c r="C138" s="4">
        <v>5.64</v>
      </c>
      <c r="D138" s="4">
        <v>1998</v>
      </c>
      <c r="E138" s="10" t="s">
        <v>51</v>
      </c>
      <c r="F138" s="10" t="s">
        <v>353</v>
      </c>
      <c r="G138" s="10" t="s">
        <v>354</v>
      </c>
      <c r="H138" s="10" t="s">
        <v>355</v>
      </c>
      <c r="I138" s="10" t="s">
        <v>214</v>
      </c>
      <c r="J138" t="s">
        <v>225</v>
      </c>
      <c r="K138" t="s">
        <v>234</v>
      </c>
      <c r="M138" s="4">
        <v>6.1</v>
      </c>
      <c r="N138" s="4">
        <v>33</v>
      </c>
      <c r="O138" s="23">
        <f t="shared" si="12"/>
        <v>4.6999999999999993</v>
      </c>
      <c r="P138" s="23">
        <f t="shared" si="13"/>
        <v>5.0133333333333328</v>
      </c>
    </row>
    <row r="139" spans="1:16" x14ac:dyDescent="0.25">
      <c r="A139" s="4">
        <f t="shared" si="11"/>
        <v>138</v>
      </c>
      <c r="B139" s="4" t="s">
        <v>143</v>
      </c>
      <c r="C139" s="4">
        <v>5.38</v>
      </c>
      <c r="D139" s="4">
        <v>2011</v>
      </c>
      <c r="E139" s="5" t="s">
        <v>51</v>
      </c>
      <c r="F139" s="10" t="s">
        <v>144</v>
      </c>
      <c r="G139" s="10" t="s">
        <v>145</v>
      </c>
      <c r="H139" s="10" t="s">
        <v>364</v>
      </c>
      <c r="I139" s="10" t="s">
        <v>52</v>
      </c>
      <c r="J139" s="10" t="s">
        <v>236</v>
      </c>
      <c r="K139" s="10" t="s">
        <v>234</v>
      </c>
      <c r="M139" s="4">
        <v>6.4</v>
      </c>
      <c r="N139" s="4">
        <v>19</v>
      </c>
      <c r="O139" s="23">
        <f t="shared" si="12"/>
        <v>4.1500000000000004</v>
      </c>
      <c r="P139" s="23">
        <f t="shared" si="13"/>
        <v>4.5600000000000005</v>
      </c>
    </row>
    <row r="140" spans="1:16" x14ac:dyDescent="0.25">
      <c r="A140" s="4">
        <f t="shared" si="11"/>
        <v>139</v>
      </c>
      <c r="B140" s="4" t="s">
        <v>148</v>
      </c>
      <c r="C140" s="4">
        <v>5.24</v>
      </c>
      <c r="D140" s="4">
        <v>2010</v>
      </c>
      <c r="E140" s="10" t="s">
        <v>13</v>
      </c>
      <c r="F140" s="10" t="s">
        <v>365</v>
      </c>
      <c r="G140" s="10" t="s">
        <v>366</v>
      </c>
      <c r="H140" s="10" t="s">
        <v>367</v>
      </c>
      <c r="I140" s="10" t="s">
        <v>147</v>
      </c>
      <c r="J140" s="10" t="s">
        <v>224</v>
      </c>
      <c r="K140" s="10" t="s">
        <v>234</v>
      </c>
      <c r="L140" s="10"/>
      <c r="M140" s="4">
        <v>6.4</v>
      </c>
      <c r="N140" s="4">
        <v>73</v>
      </c>
      <c r="O140" s="23">
        <f t="shared" si="12"/>
        <v>6.85</v>
      </c>
      <c r="P140" s="23">
        <f t="shared" si="13"/>
        <v>6.3133333333333335</v>
      </c>
    </row>
    <row r="141" spans="1:16" x14ac:dyDescent="0.25">
      <c r="A141" s="4">
        <f t="shared" si="11"/>
        <v>140</v>
      </c>
      <c r="B141" s="4" t="s">
        <v>151</v>
      </c>
      <c r="C141" s="4">
        <v>5.12</v>
      </c>
      <c r="D141" s="4">
        <v>2006</v>
      </c>
      <c r="E141" s="10" t="s">
        <v>152</v>
      </c>
      <c r="F141" s="10" t="s">
        <v>54</v>
      </c>
      <c r="G141" s="10" t="s">
        <v>368</v>
      </c>
      <c r="H141" s="10" t="s">
        <v>369</v>
      </c>
      <c r="I141" s="10" t="s">
        <v>153</v>
      </c>
      <c r="J141" t="s">
        <v>225</v>
      </c>
      <c r="K141" t="s">
        <v>234</v>
      </c>
      <c r="L141" t="s">
        <v>236</v>
      </c>
      <c r="M141" s="4">
        <v>6.3</v>
      </c>
      <c r="N141" s="4">
        <v>43</v>
      </c>
      <c r="O141" s="23">
        <f t="shared" si="12"/>
        <v>5.3</v>
      </c>
      <c r="P141" s="23">
        <f t="shared" si="13"/>
        <v>5.2399999999999993</v>
      </c>
    </row>
    <row r="148" spans="1:190" x14ac:dyDescent="0.25">
      <c r="E148" s="5"/>
    </row>
    <row r="149" spans="1:190" x14ac:dyDescent="0.25">
      <c r="E149" s="5"/>
    </row>
    <row r="151" spans="1:190" x14ac:dyDescent="0.25">
      <c r="E151" s="5"/>
      <c r="G151" s="11"/>
      <c r="H151" s="11"/>
      <c r="I151" s="11"/>
    </row>
    <row r="152" spans="1:190" s="9" customFormat="1" x14ac:dyDescent="0.25">
      <c r="A152" s="4"/>
      <c r="B152" s="4"/>
      <c r="C152" s="4"/>
      <c r="D152" s="4"/>
      <c r="E152" s="10"/>
      <c r="F152" s="10"/>
      <c r="G152" s="10"/>
      <c r="H152" s="10"/>
      <c r="I152" s="10"/>
      <c r="M152" s="7"/>
      <c r="N152" s="7"/>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row>
    <row r="155" spans="1:190" x14ac:dyDescent="0.25">
      <c r="E155" s="5"/>
    </row>
    <row r="158" spans="1:190" x14ac:dyDescent="0.25">
      <c r="E158" s="5"/>
    </row>
    <row r="159" spans="1:190" x14ac:dyDescent="0.25">
      <c r="E159" s="5"/>
    </row>
    <row r="174" spans="5:5" x14ac:dyDescent="0.25">
      <c r="E174" s="5"/>
    </row>
    <row r="175" spans="5:5" x14ac:dyDescent="0.25">
      <c r="E175" s="5"/>
    </row>
    <row r="176" spans="5:5" x14ac:dyDescent="0.25">
      <c r="E176" s="5"/>
    </row>
    <row r="180" spans="5:5" x14ac:dyDescent="0.25">
      <c r="E180" s="5"/>
    </row>
    <row r="181" spans="5:5" x14ac:dyDescent="0.25">
      <c r="E181" s="5"/>
    </row>
    <row r="182" spans="5:5" x14ac:dyDescent="0.25">
      <c r="E182" s="5"/>
    </row>
    <row r="183" spans="5:5" x14ac:dyDescent="0.25">
      <c r="E183" s="5"/>
    </row>
    <row r="184" spans="5:5" x14ac:dyDescent="0.25">
      <c r="E184" s="5"/>
    </row>
  </sheetData>
  <autoFilter ref="B1:P141" xr:uid="{8A9579FD-2A02-4EF9-875F-B089FD4F4BF3}">
    <sortState xmlns:xlrd2="http://schemas.microsoft.com/office/spreadsheetml/2017/richdata2" ref="B2:P141">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AK449"/>
  <sheetViews>
    <sheetView workbookViewId="0">
      <selection activeCell="M16" sqref="M16"/>
    </sheetView>
  </sheetViews>
  <sheetFormatPr defaultColWidth="3.140625" defaultRowHeight="15" x14ac:dyDescent="0.25"/>
  <cols>
    <col min="1" max="1" width="3.85546875" bestFit="1" customWidth="1"/>
    <col min="2" max="2" width="22.28515625" bestFit="1" customWidth="1"/>
    <col min="3" max="3" width="8.140625" style="13" bestFit="1" customWidth="1"/>
    <col min="4" max="4" width="9.7109375" style="13" bestFit="1" customWidth="1"/>
    <col min="5" max="5" width="8.85546875" style="14" bestFit="1" customWidth="1"/>
    <col min="6" max="6" width="8.140625" style="13" bestFit="1" customWidth="1"/>
    <col min="7" max="7" width="9.7109375" style="13" bestFit="1" customWidth="1"/>
    <col min="8" max="8" width="8.85546875" style="14" bestFit="1" customWidth="1"/>
    <col min="9" max="9" width="12.7109375" style="14" bestFit="1" customWidth="1"/>
    <col min="11" max="11" width="12.28515625" bestFit="1" customWidth="1"/>
    <col min="12" max="12" width="4" style="13" bestFit="1" customWidth="1"/>
    <col min="14" max="14" width="4.42578125" bestFit="1" customWidth="1"/>
    <col min="37" max="37" width="21.140625" hidden="1" customWidth="1"/>
  </cols>
  <sheetData>
    <row r="1" spans="1:37" s="10" customFormat="1" ht="15.75" thickBot="1" x14ac:dyDescent="0.3">
      <c r="A1" s="15" t="s">
        <v>3</v>
      </c>
      <c r="B1" s="15" t="s">
        <v>154</v>
      </c>
      <c r="C1" s="2" t="s">
        <v>1</v>
      </c>
      <c r="D1" s="15" t="s">
        <v>155</v>
      </c>
      <c r="E1" s="16" t="s">
        <v>156</v>
      </c>
      <c r="F1" s="15" t="s">
        <v>1</v>
      </c>
      <c r="G1" s="15" t="s">
        <v>155</v>
      </c>
      <c r="H1" s="16" t="s">
        <v>156</v>
      </c>
      <c r="I1" s="16" t="s">
        <v>4</v>
      </c>
      <c r="K1" s="15" t="s">
        <v>157</v>
      </c>
      <c r="L1" s="13">
        <f>COUNT('Movie Rankings'!A:A)</f>
        <v>140</v>
      </c>
      <c r="M1" s="17"/>
      <c r="N1" s="17"/>
      <c r="P1" s="17"/>
      <c r="Q1" s="17"/>
      <c r="R1" s="17"/>
      <c r="S1" s="17"/>
      <c r="T1" s="17"/>
      <c r="U1" s="17"/>
      <c r="V1" s="17"/>
      <c r="W1" s="17"/>
      <c r="X1" s="17"/>
      <c r="Y1" s="17"/>
      <c r="Z1" s="17"/>
      <c r="AK1" s="5" t="s">
        <v>10</v>
      </c>
    </row>
    <row r="2" spans="1:37" x14ac:dyDescent="0.25">
      <c r="A2">
        <v>1</v>
      </c>
      <c r="B2" t="s">
        <v>10</v>
      </c>
      <c r="C2" s="13">
        <v>148.85999999999999</v>
      </c>
      <c r="D2" s="13">
        <v>16</v>
      </c>
      <c r="E2" s="14">
        <v>9.7724999999999991</v>
      </c>
      <c r="F2" s="13">
        <v>148.85999999999999</v>
      </c>
      <c r="G2" s="13">
        <v>16</v>
      </c>
      <c r="H2" s="14">
        <v>9.7724999999999991</v>
      </c>
      <c r="I2" s="14">
        <v>0</v>
      </c>
      <c r="AK2" s="5" t="s">
        <v>23</v>
      </c>
    </row>
    <row r="3" spans="1:37" x14ac:dyDescent="0.25">
      <c r="A3">
        <f t="shared" ref="A3:A10" si="0">A2+1</f>
        <v>2</v>
      </c>
      <c r="B3" t="s">
        <v>23</v>
      </c>
      <c r="C3" s="13">
        <v>127.61999999999999</v>
      </c>
      <c r="D3" s="4">
        <v>14</v>
      </c>
      <c r="E3" s="12">
        <v>9.6514285714285712</v>
      </c>
      <c r="F3" s="4">
        <v>127.61999999999999</v>
      </c>
      <c r="G3" s="4">
        <v>14</v>
      </c>
      <c r="H3" s="12">
        <v>9.6514285714285712</v>
      </c>
      <c r="I3" s="12">
        <v>0</v>
      </c>
      <c r="N3" s="28"/>
      <c r="AK3" s="10" t="s">
        <v>59</v>
      </c>
    </row>
    <row r="4" spans="1:37" x14ac:dyDescent="0.25">
      <c r="A4">
        <f t="shared" si="0"/>
        <v>3</v>
      </c>
      <c r="B4" t="s">
        <v>16</v>
      </c>
      <c r="C4" s="13">
        <v>71.004999999999995</v>
      </c>
      <c r="D4" s="4">
        <v>8</v>
      </c>
      <c r="E4" s="12">
        <v>9.5006249999999994</v>
      </c>
      <c r="F4" s="4">
        <v>71.004999999999995</v>
      </c>
      <c r="G4" s="4">
        <v>8</v>
      </c>
      <c r="H4" s="12">
        <v>9.5006249999999994</v>
      </c>
      <c r="I4" s="12">
        <v>0</v>
      </c>
      <c r="N4" s="28"/>
      <c r="AK4" s="5" t="s">
        <v>16</v>
      </c>
    </row>
    <row r="5" spans="1:37" x14ac:dyDescent="0.25">
      <c r="A5">
        <f t="shared" si="0"/>
        <v>4</v>
      </c>
      <c r="B5" t="s">
        <v>59</v>
      </c>
      <c r="C5" s="13">
        <v>78.849999999999994</v>
      </c>
      <c r="D5" s="13">
        <v>9</v>
      </c>
      <c r="E5" s="14">
        <v>9.3166666666666664</v>
      </c>
      <c r="F5" s="13">
        <v>78.849999999999994</v>
      </c>
      <c r="G5" s="13">
        <v>9</v>
      </c>
      <c r="H5" s="14">
        <v>9.3166666666666664</v>
      </c>
      <c r="I5" s="14">
        <v>0</v>
      </c>
      <c r="AK5" s="10" t="s">
        <v>632</v>
      </c>
    </row>
    <row r="6" spans="1:37" x14ac:dyDescent="0.25">
      <c r="A6">
        <f t="shared" si="0"/>
        <v>5</v>
      </c>
      <c r="B6" t="s">
        <v>34</v>
      </c>
      <c r="C6" s="13">
        <v>59.394999999999996</v>
      </c>
      <c r="D6" s="13">
        <v>7</v>
      </c>
      <c r="E6" s="14">
        <v>9.199285714285713</v>
      </c>
      <c r="F6" s="13">
        <v>66.594999999999999</v>
      </c>
      <c r="G6" s="13">
        <v>8</v>
      </c>
      <c r="H6" s="14">
        <v>8.9493749999999999</v>
      </c>
      <c r="I6" s="14">
        <v>0.2499107142857131</v>
      </c>
      <c r="AK6" s="10" t="s">
        <v>296</v>
      </c>
    </row>
    <row r="7" spans="1:37" x14ac:dyDescent="0.25">
      <c r="A7">
        <f t="shared" si="0"/>
        <v>6</v>
      </c>
      <c r="B7" t="s">
        <v>13</v>
      </c>
      <c r="C7" s="13">
        <v>78.914999999999992</v>
      </c>
      <c r="D7" s="13">
        <v>9</v>
      </c>
      <c r="E7" s="14">
        <v>9.323888888888888</v>
      </c>
      <c r="F7" s="13">
        <v>91.964999999999989</v>
      </c>
      <c r="G7" s="13">
        <v>11</v>
      </c>
      <c r="H7" s="14">
        <v>8.8149999999999995</v>
      </c>
      <c r="I7" s="14">
        <v>0.5088888888888885</v>
      </c>
      <c r="AK7" s="5" t="s">
        <v>34</v>
      </c>
    </row>
    <row r="8" spans="1:37" x14ac:dyDescent="0.25">
      <c r="A8">
        <f t="shared" si="0"/>
        <v>7</v>
      </c>
      <c r="B8" s="5" t="s">
        <v>17</v>
      </c>
      <c r="C8" s="13">
        <v>44.980000000000004</v>
      </c>
      <c r="D8" s="13">
        <v>5</v>
      </c>
      <c r="E8" s="14">
        <v>8.6960000000000015</v>
      </c>
      <c r="F8" s="13">
        <v>44.980000000000004</v>
      </c>
      <c r="G8" s="13">
        <v>5</v>
      </c>
      <c r="H8" s="14">
        <v>8.6960000000000015</v>
      </c>
      <c r="I8" s="14">
        <v>0</v>
      </c>
      <c r="AK8" s="10" t="s">
        <v>27</v>
      </c>
    </row>
    <row r="9" spans="1:37" x14ac:dyDescent="0.25">
      <c r="A9">
        <f t="shared" si="0"/>
        <v>8</v>
      </c>
      <c r="B9" s="10" t="s">
        <v>31</v>
      </c>
      <c r="C9" s="13">
        <v>27.549999999999997</v>
      </c>
      <c r="D9" s="4">
        <v>3</v>
      </c>
      <c r="E9" s="12">
        <v>8.6833333333333318</v>
      </c>
      <c r="F9" s="4">
        <v>27.549999999999997</v>
      </c>
      <c r="G9" s="4">
        <v>3</v>
      </c>
      <c r="H9" s="12">
        <v>8.6833333333333318</v>
      </c>
      <c r="I9" s="12">
        <v>0</v>
      </c>
      <c r="T9" s="10"/>
      <c r="AK9" s="10" t="s">
        <v>24</v>
      </c>
    </row>
    <row r="10" spans="1:37" x14ac:dyDescent="0.25">
      <c r="A10">
        <f t="shared" si="0"/>
        <v>9</v>
      </c>
      <c r="B10" s="10" t="s">
        <v>58</v>
      </c>
      <c r="C10" s="13">
        <v>19.75</v>
      </c>
      <c r="D10" s="13">
        <v>2</v>
      </c>
      <c r="E10" s="14">
        <v>8.625</v>
      </c>
      <c r="F10" s="13">
        <v>19.75</v>
      </c>
      <c r="G10" s="13">
        <v>2</v>
      </c>
      <c r="H10" s="14">
        <v>8.625</v>
      </c>
      <c r="I10" s="14">
        <v>0</v>
      </c>
      <c r="T10" s="5"/>
      <c r="AK10" s="10" t="s">
        <v>481</v>
      </c>
    </row>
    <row r="11" spans="1:37" x14ac:dyDescent="0.25">
      <c r="A11">
        <f t="shared" ref="A11:A40" si="1">A10+1</f>
        <v>10</v>
      </c>
      <c r="B11" s="10" t="s">
        <v>19</v>
      </c>
      <c r="C11" s="13">
        <v>19.704999999999998</v>
      </c>
      <c r="D11" s="13">
        <v>2</v>
      </c>
      <c r="E11" s="14">
        <v>8.6024999999999991</v>
      </c>
      <c r="F11" s="13">
        <v>19.704999999999998</v>
      </c>
      <c r="G11" s="13">
        <v>2</v>
      </c>
      <c r="H11" s="14">
        <v>8.6024999999999991</v>
      </c>
      <c r="I11" s="14">
        <v>0</v>
      </c>
      <c r="T11" s="10"/>
      <c r="AK11" s="10" t="s">
        <v>325</v>
      </c>
    </row>
    <row r="12" spans="1:37" x14ac:dyDescent="0.25">
      <c r="A12">
        <f t="shared" si="1"/>
        <v>11</v>
      </c>
      <c r="B12" s="10" t="s">
        <v>46</v>
      </c>
      <c r="C12" s="13">
        <v>52.04999999999999</v>
      </c>
      <c r="D12" s="13">
        <v>6</v>
      </c>
      <c r="E12" s="14">
        <v>9.5083333333333311</v>
      </c>
      <c r="F12" s="13">
        <v>52.04999999999999</v>
      </c>
      <c r="G12" s="13">
        <v>6</v>
      </c>
      <c r="H12" s="14">
        <v>8.4249999999999989</v>
      </c>
      <c r="I12" s="14">
        <v>1.0833333333333321</v>
      </c>
      <c r="T12" s="10"/>
      <c r="AK12" s="5" t="s">
        <v>65</v>
      </c>
    </row>
    <row r="13" spans="1:37" x14ac:dyDescent="0.25">
      <c r="A13">
        <f t="shared" si="1"/>
        <v>12</v>
      </c>
      <c r="B13" t="s">
        <v>565</v>
      </c>
      <c r="C13" s="4">
        <v>19.329999999999998</v>
      </c>
      <c r="D13" s="4">
        <v>2</v>
      </c>
      <c r="E13" s="12">
        <v>8.4149999999999991</v>
      </c>
      <c r="F13" s="4">
        <v>19.329999999999998</v>
      </c>
      <c r="G13" s="4">
        <v>2</v>
      </c>
      <c r="H13" s="12">
        <v>8.4149999999999991</v>
      </c>
      <c r="I13" s="12">
        <v>0</v>
      </c>
      <c r="T13" s="10"/>
      <c r="AK13" s="10" t="s">
        <v>526</v>
      </c>
    </row>
    <row r="14" spans="1:37" x14ac:dyDescent="0.25">
      <c r="A14">
        <f t="shared" si="1"/>
        <v>13</v>
      </c>
      <c r="B14" s="5" t="s">
        <v>66</v>
      </c>
      <c r="C14" s="13">
        <v>26.67</v>
      </c>
      <c r="D14" s="4">
        <v>3</v>
      </c>
      <c r="E14" s="12">
        <v>8.39</v>
      </c>
      <c r="F14" s="4">
        <v>26.67</v>
      </c>
      <c r="G14" s="4">
        <v>3</v>
      </c>
      <c r="H14" s="12">
        <v>8.39</v>
      </c>
      <c r="I14" s="12">
        <v>0</v>
      </c>
      <c r="T14" s="5"/>
      <c r="AK14" s="5" t="s">
        <v>13</v>
      </c>
    </row>
    <row r="15" spans="1:37" x14ac:dyDescent="0.25">
      <c r="A15">
        <f t="shared" si="1"/>
        <v>14</v>
      </c>
      <c r="B15" t="s">
        <v>60</v>
      </c>
      <c r="C15" s="13">
        <v>26.645000000000003</v>
      </c>
      <c r="D15" s="13">
        <v>3</v>
      </c>
      <c r="E15" s="14">
        <v>8.3816666666666677</v>
      </c>
      <c r="F15" s="13">
        <v>26.645000000000003</v>
      </c>
      <c r="G15" s="13">
        <v>3</v>
      </c>
      <c r="H15" s="14">
        <v>8.3816666666666677</v>
      </c>
      <c r="I15" s="14">
        <v>0</v>
      </c>
      <c r="T15" s="10"/>
      <c r="AK15" s="5" t="s">
        <v>375</v>
      </c>
    </row>
    <row r="16" spans="1:37" x14ac:dyDescent="0.25">
      <c r="A16">
        <f t="shared" si="1"/>
        <v>15</v>
      </c>
      <c r="B16" s="10" t="s">
        <v>163</v>
      </c>
      <c r="C16" s="13">
        <v>43.204999999999998</v>
      </c>
      <c r="D16" s="13">
        <v>5</v>
      </c>
      <c r="E16" s="14">
        <v>8.3409999999999993</v>
      </c>
      <c r="F16" s="13">
        <v>43.204999999999998</v>
      </c>
      <c r="G16" s="13">
        <v>5</v>
      </c>
      <c r="H16" s="14">
        <v>8.3409999999999993</v>
      </c>
      <c r="I16" s="14">
        <v>0</v>
      </c>
      <c r="T16" s="5"/>
      <c r="AK16" s="5" t="s">
        <v>14</v>
      </c>
    </row>
    <row r="17" spans="1:37" x14ac:dyDescent="0.25">
      <c r="A17">
        <f t="shared" si="1"/>
        <v>16</v>
      </c>
      <c r="B17" t="s">
        <v>158</v>
      </c>
      <c r="C17" s="13">
        <v>34.739999999999995</v>
      </c>
      <c r="D17" s="13">
        <v>4</v>
      </c>
      <c r="E17" s="14">
        <v>8.3099999999999987</v>
      </c>
      <c r="F17" s="13">
        <v>34.739999999999995</v>
      </c>
      <c r="G17" s="13">
        <v>4</v>
      </c>
      <c r="H17" s="14">
        <v>8.3099999999999987</v>
      </c>
      <c r="I17" s="14">
        <v>0</v>
      </c>
      <c r="T17" s="10"/>
      <c r="AK17" s="10" t="s">
        <v>36</v>
      </c>
    </row>
    <row r="18" spans="1:37" x14ac:dyDescent="0.25">
      <c r="A18">
        <f t="shared" si="1"/>
        <v>17</v>
      </c>
      <c r="B18" s="5" t="s">
        <v>99</v>
      </c>
      <c r="C18" s="13">
        <v>26.37</v>
      </c>
      <c r="D18" s="13">
        <v>3</v>
      </c>
      <c r="E18" s="14">
        <v>8.2900000000000009</v>
      </c>
      <c r="F18" s="13">
        <v>26.37</v>
      </c>
      <c r="G18" s="13">
        <v>3</v>
      </c>
      <c r="H18" s="14">
        <v>8.2900000000000009</v>
      </c>
      <c r="I18" s="14">
        <v>0</v>
      </c>
      <c r="T18" s="10"/>
      <c r="AK18" s="10" t="s">
        <v>534</v>
      </c>
    </row>
    <row r="19" spans="1:37" x14ac:dyDescent="0.25">
      <c r="A19">
        <f t="shared" si="1"/>
        <v>18</v>
      </c>
      <c r="B19" t="s">
        <v>11</v>
      </c>
      <c r="C19" s="4">
        <v>27.909999999999997</v>
      </c>
      <c r="D19" s="4">
        <v>3</v>
      </c>
      <c r="E19" s="12">
        <v>8.8033333333333328</v>
      </c>
      <c r="F19" s="4">
        <v>34.65</v>
      </c>
      <c r="G19" s="4">
        <v>4</v>
      </c>
      <c r="H19" s="12">
        <v>8.2874999999999996</v>
      </c>
      <c r="I19" s="12">
        <v>0.51583333333333314</v>
      </c>
      <c r="T19" s="10"/>
      <c r="AK19" s="5" t="s">
        <v>31</v>
      </c>
    </row>
    <row r="20" spans="1:37" x14ac:dyDescent="0.25">
      <c r="A20">
        <f t="shared" si="1"/>
        <v>19</v>
      </c>
      <c r="B20" t="s">
        <v>73</v>
      </c>
      <c r="C20" s="13">
        <v>19.005000000000003</v>
      </c>
      <c r="D20" s="13">
        <v>2</v>
      </c>
      <c r="E20" s="14">
        <v>8.2525000000000013</v>
      </c>
      <c r="F20" s="13">
        <v>19.005000000000003</v>
      </c>
      <c r="G20" s="13">
        <v>2</v>
      </c>
      <c r="H20" s="14">
        <v>8.2525000000000013</v>
      </c>
      <c r="I20" s="14">
        <v>0</v>
      </c>
      <c r="AK20" s="5" t="s">
        <v>246</v>
      </c>
    </row>
    <row r="21" spans="1:37" x14ac:dyDescent="0.25">
      <c r="A21">
        <f t="shared" si="1"/>
        <v>20</v>
      </c>
      <c r="B21" t="s">
        <v>74</v>
      </c>
      <c r="C21" s="13">
        <v>26.249999999999996</v>
      </c>
      <c r="D21" s="13">
        <v>3</v>
      </c>
      <c r="E21" s="14">
        <v>8.2499999999999982</v>
      </c>
      <c r="F21" s="13">
        <v>26.249999999999996</v>
      </c>
      <c r="G21" s="13">
        <v>3</v>
      </c>
      <c r="H21" s="14">
        <v>8.2499999999999982</v>
      </c>
      <c r="I21" s="14">
        <v>0</v>
      </c>
      <c r="T21" s="10"/>
      <c r="AK21" s="10" t="s">
        <v>186</v>
      </c>
    </row>
    <row r="22" spans="1:37" x14ac:dyDescent="0.25">
      <c r="A22">
        <f t="shared" si="1"/>
        <v>21</v>
      </c>
      <c r="B22" t="s">
        <v>67</v>
      </c>
      <c r="C22" s="4">
        <v>18.865000000000002</v>
      </c>
      <c r="D22" s="4">
        <v>2</v>
      </c>
      <c r="E22" s="12">
        <v>8.182500000000001</v>
      </c>
      <c r="F22" s="4">
        <v>18.865000000000002</v>
      </c>
      <c r="G22" s="4">
        <v>2</v>
      </c>
      <c r="H22" s="12">
        <v>8.182500000000001</v>
      </c>
      <c r="I22" s="12">
        <v>0</v>
      </c>
      <c r="AK22" s="5" t="s">
        <v>77</v>
      </c>
    </row>
    <row r="23" spans="1:37" x14ac:dyDescent="0.25">
      <c r="A23">
        <f t="shared" si="1"/>
        <v>22</v>
      </c>
      <c r="B23" t="s">
        <v>28</v>
      </c>
      <c r="C23" s="13">
        <v>50.495000000000005</v>
      </c>
      <c r="D23" s="4">
        <v>6</v>
      </c>
      <c r="E23" s="12">
        <v>9.2491666666666674</v>
      </c>
      <c r="F23" s="4">
        <v>50.495000000000005</v>
      </c>
      <c r="G23" s="4">
        <v>6</v>
      </c>
      <c r="H23" s="12">
        <v>8.1658333333333335</v>
      </c>
      <c r="I23" s="12">
        <v>1.0833333333333339</v>
      </c>
      <c r="T23" s="5"/>
      <c r="AK23" s="10" t="s">
        <v>17</v>
      </c>
    </row>
    <row r="24" spans="1:37" x14ac:dyDescent="0.25">
      <c r="A24">
        <f t="shared" si="1"/>
        <v>23</v>
      </c>
      <c r="B24" s="10" t="s">
        <v>70</v>
      </c>
      <c r="C24" s="13">
        <v>18.759999999999998</v>
      </c>
      <c r="D24" s="13">
        <v>2</v>
      </c>
      <c r="E24" s="14">
        <v>8.129999999999999</v>
      </c>
      <c r="F24" s="13">
        <v>18.759999999999998</v>
      </c>
      <c r="G24" s="13">
        <v>2</v>
      </c>
      <c r="H24" s="14">
        <v>8.129999999999999</v>
      </c>
      <c r="I24" s="14">
        <v>0</v>
      </c>
      <c r="AK24" s="10" t="s">
        <v>112</v>
      </c>
    </row>
    <row r="25" spans="1:37" x14ac:dyDescent="0.25">
      <c r="A25">
        <f t="shared" si="1"/>
        <v>24</v>
      </c>
      <c r="B25" s="10" t="s">
        <v>27</v>
      </c>
      <c r="C25" s="13">
        <v>18.649999999999999</v>
      </c>
      <c r="D25" s="13">
        <v>2</v>
      </c>
      <c r="E25" s="14">
        <v>8.0749999999999993</v>
      </c>
      <c r="F25" s="13">
        <v>18.649999999999999</v>
      </c>
      <c r="G25" s="13">
        <v>2</v>
      </c>
      <c r="H25" s="14">
        <v>8.0749999999999993</v>
      </c>
      <c r="I25" s="14">
        <v>0</v>
      </c>
      <c r="AK25" s="5" t="s">
        <v>58</v>
      </c>
    </row>
    <row r="26" spans="1:37" x14ac:dyDescent="0.25">
      <c r="A26">
        <f t="shared" si="1"/>
        <v>25</v>
      </c>
      <c r="B26" t="s">
        <v>246</v>
      </c>
      <c r="C26" s="13">
        <v>10.56</v>
      </c>
      <c r="D26" s="13">
        <v>1</v>
      </c>
      <c r="E26" s="14">
        <v>8.06</v>
      </c>
      <c r="F26" s="13">
        <v>10.56</v>
      </c>
      <c r="G26" s="13">
        <v>1</v>
      </c>
      <c r="H26" s="14">
        <v>8.06</v>
      </c>
      <c r="I26" s="14">
        <v>0</v>
      </c>
      <c r="AK26" s="10" t="s">
        <v>291</v>
      </c>
    </row>
    <row r="27" spans="1:37" x14ac:dyDescent="0.25">
      <c r="A27">
        <f t="shared" si="1"/>
        <v>26</v>
      </c>
      <c r="B27" t="s">
        <v>421</v>
      </c>
      <c r="C27" s="13">
        <v>18.57</v>
      </c>
      <c r="D27" s="13">
        <v>2</v>
      </c>
      <c r="E27" s="14">
        <v>8.0350000000000001</v>
      </c>
      <c r="F27" s="13">
        <v>18.57</v>
      </c>
      <c r="G27" s="13">
        <v>2</v>
      </c>
      <c r="H27" s="14">
        <v>8.0350000000000001</v>
      </c>
      <c r="I27" s="14">
        <v>0</v>
      </c>
      <c r="AK27" s="5" t="s">
        <v>28</v>
      </c>
    </row>
    <row r="28" spans="1:37" x14ac:dyDescent="0.25">
      <c r="A28">
        <f t="shared" si="1"/>
        <v>27</v>
      </c>
      <c r="B28" t="s">
        <v>24</v>
      </c>
      <c r="C28" s="13">
        <v>18.515000000000001</v>
      </c>
      <c r="D28" s="13">
        <v>2</v>
      </c>
      <c r="E28" s="14">
        <v>8.0075000000000003</v>
      </c>
      <c r="F28" s="13">
        <v>18.515000000000001</v>
      </c>
      <c r="G28" s="13">
        <v>2</v>
      </c>
      <c r="H28" s="14">
        <v>8.0075000000000003</v>
      </c>
      <c r="I28" s="14">
        <v>0</v>
      </c>
      <c r="AK28" s="10" t="s">
        <v>515</v>
      </c>
    </row>
    <row r="29" spans="1:37" x14ac:dyDescent="0.25">
      <c r="A29">
        <f t="shared" si="1"/>
        <v>28</v>
      </c>
      <c r="B29" t="s">
        <v>14</v>
      </c>
      <c r="C29" s="13">
        <v>18.41</v>
      </c>
      <c r="D29" s="13">
        <v>2</v>
      </c>
      <c r="E29" s="14">
        <v>7.9550000000000001</v>
      </c>
      <c r="F29" s="13">
        <v>18.41</v>
      </c>
      <c r="G29" s="13">
        <v>2</v>
      </c>
      <c r="H29" s="14">
        <v>7.9550000000000001</v>
      </c>
      <c r="I29" s="14">
        <v>0</v>
      </c>
      <c r="AK29" s="10" t="s">
        <v>318</v>
      </c>
    </row>
    <row r="30" spans="1:37" x14ac:dyDescent="0.25">
      <c r="A30">
        <f t="shared" si="1"/>
        <v>29</v>
      </c>
      <c r="B30" t="s">
        <v>250</v>
      </c>
      <c r="C30" s="13">
        <v>25.355</v>
      </c>
      <c r="D30" s="13">
        <v>3</v>
      </c>
      <c r="E30" s="14">
        <v>7.9516666666666671</v>
      </c>
      <c r="F30" s="13">
        <v>25.355</v>
      </c>
      <c r="G30" s="13">
        <v>3</v>
      </c>
      <c r="H30" s="14">
        <v>7.9516666666666671</v>
      </c>
      <c r="I30" s="14">
        <v>0</v>
      </c>
      <c r="AK30" s="10" t="s">
        <v>19</v>
      </c>
    </row>
    <row r="31" spans="1:37" x14ac:dyDescent="0.25">
      <c r="A31">
        <f t="shared" si="1"/>
        <v>30</v>
      </c>
      <c r="B31" s="10" t="s">
        <v>36</v>
      </c>
      <c r="C31" s="13">
        <v>34.419999999999995</v>
      </c>
      <c r="D31" s="13">
        <v>4</v>
      </c>
      <c r="E31" s="14">
        <v>8.2299999999999986</v>
      </c>
      <c r="F31" s="13">
        <v>41.12</v>
      </c>
      <c r="G31" s="13">
        <v>5</v>
      </c>
      <c r="H31" s="14">
        <v>7.9239999999999995</v>
      </c>
      <c r="I31" s="14">
        <v>0.30599999999999916</v>
      </c>
      <c r="AK31" s="10" t="s">
        <v>175</v>
      </c>
    </row>
    <row r="32" spans="1:37" x14ac:dyDescent="0.25">
      <c r="A32">
        <f t="shared" si="1"/>
        <v>31</v>
      </c>
      <c r="B32" t="s">
        <v>141</v>
      </c>
      <c r="C32" s="13">
        <v>18.240000000000002</v>
      </c>
      <c r="D32" s="13">
        <v>2</v>
      </c>
      <c r="E32" s="14">
        <v>7.870000000000001</v>
      </c>
      <c r="F32" s="13">
        <v>25.480000000000004</v>
      </c>
      <c r="G32" s="13">
        <v>3</v>
      </c>
      <c r="H32" s="14">
        <v>7.870000000000001</v>
      </c>
      <c r="I32" s="14">
        <v>0</v>
      </c>
      <c r="AK32" s="5" t="s">
        <v>80</v>
      </c>
    </row>
    <row r="33" spans="1:37" x14ac:dyDescent="0.25">
      <c r="A33">
        <f t="shared" si="1"/>
        <v>32</v>
      </c>
      <c r="B33" s="10" t="s">
        <v>112</v>
      </c>
      <c r="C33" s="13">
        <v>32.164999999999999</v>
      </c>
      <c r="D33" s="4">
        <v>4</v>
      </c>
      <c r="E33" s="12">
        <v>7.6662499999999998</v>
      </c>
      <c r="F33" s="4">
        <v>32.164999999999999</v>
      </c>
      <c r="G33" s="4">
        <v>4</v>
      </c>
      <c r="H33" s="12">
        <v>7.6662499999999998</v>
      </c>
      <c r="I33" s="12">
        <v>0</v>
      </c>
      <c r="AK33" s="10" t="s">
        <v>46</v>
      </c>
    </row>
    <row r="34" spans="1:37" x14ac:dyDescent="0.25">
      <c r="A34">
        <f t="shared" si="1"/>
        <v>33</v>
      </c>
      <c r="B34" t="s">
        <v>632</v>
      </c>
      <c r="C34" s="4">
        <v>17.77</v>
      </c>
      <c r="D34" s="4">
        <v>2</v>
      </c>
      <c r="E34" s="12">
        <v>7.6349999999999998</v>
      </c>
      <c r="F34" s="4">
        <v>17.77</v>
      </c>
      <c r="G34" s="4">
        <v>2</v>
      </c>
      <c r="H34" s="12">
        <v>7.6349999999999998</v>
      </c>
      <c r="I34" s="12">
        <v>0</v>
      </c>
      <c r="AK34" s="5" t="s">
        <v>565</v>
      </c>
    </row>
    <row r="35" spans="1:37" x14ac:dyDescent="0.25">
      <c r="A35">
        <f t="shared" si="1"/>
        <v>34</v>
      </c>
      <c r="B35" t="s">
        <v>80</v>
      </c>
      <c r="C35" s="13">
        <v>17.77</v>
      </c>
      <c r="D35" s="4">
        <v>2</v>
      </c>
      <c r="E35" s="12">
        <v>7.6349999999999998</v>
      </c>
      <c r="F35" s="4">
        <v>17.77</v>
      </c>
      <c r="G35" s="4">
        <v>2</v>
      </c>
      <c r="H35" s="12">
        <v>7.6349999999999998</v>
      </c>
      <c r="I35" s="12">
        <v>0</v>
      </c>
      <c r="AK35" s="5" t="s">
        <v>48</v>
      </c>
    </row>
    <row r="36" spans="1:37" x14ac:dyDescent="0.25">
      <c r="A36">
        <f t="shared" si="1"/>
        <v>35</v>
      </c>
      <c r="B36" t="s">
        <v>65</v>
      </c>
      <c r="C36" s="13">
        <v>10.1</v>
      </c>
      <c r="D36" s="13">
        <v>1</v>
      </c>
      <c r="E36" s="14">
        <v>7.6</v>
      </c>
      <c r="F36" s="13">
        <v>10.1</v>
      </c>
      <c r="G36" s="13">
        <v>1</v>
      </c>
      <c r="H36" s="14">
        <v>7.6</v>
      </c>
      <c r="I36" s="14">
        <v>0</v>
      </c>
      <c r="AK36" s="10" t="s">
        <v>219</v>
      </c>
    </row>
    <row r="37" spans="1:37" x14ac:dyDescent="0.25">
      <c r="A37">
        <f t="shared" si="1"/>
        <v>36</v>
      </c>
      <c r="B37" s="10" t="s">
        <v>133</v>
      </c>
      <c r="C37" s="13">
        <v>9.99</v>
      </c>
      <c r="D37" s="13">
        <v>1</v>
      </c>
      <c r="E37" s="14">
        <v>7.49</v>
      </c>
      <c r="F37" s="13">
        <v>17.009999999999998</v>
      </c>
      <c r="G37" s="13">
        <v>2</v>
      </c>
      <c r="H37" s="14">
        <v>7.49</v>
      </c>
      <c r="I37" s="14">
        <v>0</v>
      </c>
      <c r="AK37" s="10" t="s">
        <v>66</v>
      </c>
    </row>
    <row r="38" spans="1:37" x14ac:dyDescent="0.25">
      <c r="A38">
        <f t="shared" si="1"/>
        <v>37</v>
      </c>
      <c r="B38" t="s">
        <v>534</v>
      </c>
      <c r="C38" s="13">
        <v>9.76</v>
      </c>
      <c r="D38" s="13">
        <v>1</v>
      </c>
      <c r="E38" s="14">
        <v>7.26</v>
      </c>
      <c r="F38" s="13">
        <v>16.809999999999999</v>
      </c>
      <c r="G38" s="13">
        <v>2</v>
      </c>
      <c r="H38" s="14">
        <v>7.26</v>
      </c>
      <c r="I38" s="14">
        <v>0</v>
      </c>
      <c r="AK38" s="10" t="s">
        <v>312</v>
      </c>
    </row>
    <row r="39" spans="1:37" x14ac:dyDescent="0.25">
      <c r="A39">
        <f t="shared" si="1"/>
        <v>38</v>
      </c>
      <c r="B39" t="s">
        <v>431</v>
      </c>
      <c r="C39" s="13">
        <v>16.93</v>
      </c>
      <c r="D39" s="13">
        <v>2</v>
      </c>
      <c r="E39" s="14">
        <v>7.2149999999999999</v>
      </c>
      <c r="F39" s="13">
        <v>16.93</v>
      </c>
      <c r="G39" s="13">
        <v>2</v>
      </c>
      <c r="H39" s="14">
        <v>7.2149999999999999</v>
      </c>
      <c r="I39" s="14">
        <v>0</v>
      </c>
      <c r="AK39" s="10" t="s">
        <v>222</v>
      </c>
    </row>
    <row r="40" spans="1:37" x14ac:dyDescent="0.25">
      <c r="A40">
        <f t="shared" si="1"/>
        <v>39</v>
      </c>
      <c r="B40" s="5" t="s">
        <v>51</v>
      </c>
      <c r="C40" s="13">
        <v>25.63</v>
      </c>
      <c r="D40" s="13">
        <v>3</v>
      </c>
      <c r="E40" s="14">
        <v>8.043333333333333</v>
      </c>
      <c r="F40" s="13">
        <v>44.78</v>
      </c>
      <c r="G40" s="13">
        <v>6</v>
      </c>
      <c r="H40" s="14">
        <v>7.2133333333333338</v>
      </c>
      <c r="I40" s="14">
        <v>0.82999999999999918</v>
      </c>
      <c r="AK40" s="10" t="s">
        <v>60</v>
      </c>
    </row>
    <row r="41" spans="1:37" x14ac:dyDescent="0.25">
      <c r="AK41" s="10" t="s">
        <v>170</v>
      </c>
    </row>
    <row r="42" spans="1:37" x14ac:dyDescent="0.25">
      <c r="AK42" s="10" t="s">
        <v>163</v>
      </c>
    </row>
    <row r="43" spans="1:37" x14ac:dyDescent="0.25">
      <c r="C43" s="4"/>
      <c r="D43" s="4"/>
      <c r="E43" s="12"/>
      <c r="F43" s="4"/>
      <c r="G43" s="4"/>
      <c r="H43" s="12"/>
      <c r="I43" s="12"/>
      <c r="AK43" s="5" t="s">
        <v>158</v>
      </c>
    </row>
    <row r="44" spans="1:37" x14ac:dyDescent="0.25">
      <c r="AK44" s="6" t="s">
        <v>528</v>
      </c>
    </row>
    <row r="45" spans="1:37" x14ac:dyDescent="0.25">
      <c r="AK45" s="5" t="s">
        <v>440</v>
      </c>
    </row>
    <row r="46" spans="1:37" x14ac:dyDescent="0.25">
      <c r="AK46" s="10" t="s">
        <v>380</v>
      </c>
    </row>
    <row r="47" spans="1:37" x14ac:dyDescent="0.25">
      <c r="AK47" s="10" t="s">
        <v>294</v>
      </c>
    </row>
    <row r="48" spans="1:37" x14ac:dyDescent="0.25">
      <c r="AK48" s="5" t="s">
        <v>99</v>
      </c>
    </row>
    <row r="49" spans="3:37" x14ac:dyDescent="0.25">
      <c r="AK49" s="5" t="s">
        <v>74</v>
      </c>
    </row>
    <row r="50" spans="3:37" x14ac:dyDescent="0.25">
      <c r="AK50" s="5" t="s">
        <v>578</v>
      </c>
    </row>
    <row r="51" spans="3:37" x14ac:dyDescent="0.25">
      <c r="C51" s="4"/>
      <c r="D51" s="4"/>
      <c r="E51" s="12"/>
      <c r="F51" s="4"/>
      <c r="G51" s="4"/>
      <c r="H51" s="12"/>
      <c r="I51" s="12"/>
      <c r="AK51" s="5" t="s">
        <v>73</v>
      </c>
    </row>
    <row r="52" spans="3:37" x14ac:dyDescent="0.25">
      <c r="AK52" s="10" t="s">
        <v>11</v>
      </c>
    </row>
    <row r="53" spans="3:37" x14ac:dyDescent="0.25">
      <c r="AK53" s="5" t="s">
        <v>490</v>
      </c>
    </row>
    <row r="54" spans="3:37" x14ac:dyDescent="0.25">
      <c r="AK54" s="5" t="s">
        <v>554</v>
      </c>
    </row>
    <row r="55" spans="3:37" x14ac:dyDescent="0.25">
      <c r="AK55" s="10" t="s">
        <v>220</v>
      </c>
    </row>
    <row r="56" spans="3:37" x14ac:dyDescent="0.25">
      <c r="AK56" s="10" t="s">
        <v>250</v>
      </c>
    </row>
    <row r="57" spans="3:37" x14ac:dyDescent="0.25">
      <c r="AK57" s="5" t="s">
        <v>265</v>
      </c>
    </row>
    <row r="58" spans="3:37" x14ac:dyDescent="0.25">
      <c r="C58" s="4"/>
      <c r="D58" s="4"/>
      <c r="E58" s="12"/>
      <c r="F58" s="4"/>
      <c r="G58" s="4"/>
      <c r="H58" s="12"/>
      <c r="I58" s="12"/>
      <c r="AK58" s="10" t="s">
        <v>431</v>
      </c>
    </row>
    <row r="59" spans="3:37" x14ac:dyDescent="0.25">
      <c r="AK59" s="5" t="s">
        <v>84</v>
      </c>
    </row>
    <row r="60" spans="3:37" x14ac:dyDescent="0.25">
      <c r="AK60" s="5" t="s">
        <v>70</v>
      </c>
    </row>
    <row r="61" spans="3:37" x14ac:dyDescent="0.25">
      <c r="C61" s="4"/>
      <c r="D61" s="4"/>
      <c r="E61" s="12"/>
      <c r="F61" s="4"/>
      <c r="G61" s="4"/>
      <c r="H61" s="12"/>
      <c r="I61" s="12"/>
      <c r="AK61" s="5" t="s">
        <v>89</v>
      </c>
    </row>
    <row r="62" spans="3:37" x14ac:dyDescent="0.25">
      <c r="AK62" s="10" t="s">
        <v>178</v>
      </c>
    </row>
    <row r="63" spans="3:37" x14ac:dyDescent="0.25">
      <c r="AK63" s="10" t="s">
        <v>401</v>
      </c>
    </row>
    <row r="64" spans="3:37" x14ac:dyDescent="0.25">
      <c r="AK64" s="5" t="s">
        <v>141</v>
      </c>
    </row>
    <row r="65" spans="3:37" x14ac:dyDescent="0.25">
      <c r="AK65" s="5" t="s">
        <v>204</v>
      </c>
    </row>
    <row r="66" spans="3:37" x14ac:dyDescent="0.25">
      <c r="AK66" s="10" t="s">
        <v>447</v>
      </c>
    </row>
    <row r="67" spans="3:37" x14ac:dyDescent="0.25">
      <c r="AK67" s="5" t="s">
        <v>280</v>
      </c>
    </row>
    <row r="68" spans="3:37" x14ac:dyDescent="0.25">
      <c r="AK68" s="10" t="s">
        <v>257</v>
      </c>
    </row>
    <row r="69" spans="3:37" x14ac:dyDescent="0.25">
      <c r="AK69" s="10" t="s">
        <v>85</v>
      </c>
    </row>
    <row r="70" spans="3:37" x14ac:dyDescent="0.25">
      <c r="C70" s="4"/>
      <c r="D70" s="4"/>
      <c r="E70" s="12"/>
      <c r="F70" s="4"/>
      <c r="G70" s="4"/>
      <c r="H70" s="12"/>
      <c r="I70" s="12"/>
      <c r="AK70" s="10" t="s">
        <v>464</v>
      </c>
    </row>
    <row r="71" spans="3:37" x14ac:dyDescent="0.25">
      <c r="AK71" s="10" t="s">
        <v>575</v>
      </c>
    </row>
    <row r="72" spans="3:37" x14ac:dyDescent="0.25">
      <c r="C72" s="4"/>
      <c r="D72" s="4"/>
      <c r="E72" s="12"/>
      <c r="F72" s="4"/>
      <c r="G72" s="4"/>
      <c r="H72" s="12"/>
      <c r="I72" s="12"/>
      <c r="AK72" s="10" t="s">
        <v>260</v>
      </c>
    </row>
    <row r="73" spans="3:37" x14ac:dyDescent="0.25">
      <c r="AK73" s="10" t="s">
        <v>495</v>
      </c>
    </row>
    <row r="74" spans="3:37" x14ac:dyDescent="0.25">
      <c r="AK74" s="10" t="s">
        <v>495</v>
      </c>
    </row>
    <row r="75" spans="3:37" x14ac:dyDescent="0.25">
      <c r="AK75" s="10" t="s">
        <v>560</v>
      </c>
    </row>
    <row r="76" spans="3:37" x14ac:dyDescent="0.25">
      <c r="AK76" s="5" t="s">
        <v>63</v>
      </c>
    </row>
    <row r="77" spans="3:37" x14ac:dyDescent="0.25">
      <c r="AK77" s="5" t="s">
        <v>272</v>
      </c>
    </row>
    <row r="78" spans="3:37" x14ac:dyDescent="0.25">
      <c r="AK78" s="10" t="s">
        <v>513</v>
      </c>
    </row>
    <row r="79" spans="3:37" x14ac:dyDescent="0.25">
      <c r="AK79" s="10" t="s">
        <v>504</v>
      </c>
    </row>
    <row r="80" spans="3:37" x14ac:dyDescent="0.25">
      <c r="AK80" s="5" t="s">
        <v>267</v>
      </c>
    </row>
    <row r="81" spans="3:37" x14ac:dyDescent="0.25">
      <c r="AK81" s="11" t="s">
        <v>428</v>
      </c>
    </row>
    <row r="82" spans="3:37" x14ac:dyDescent="0.25">
      <c r="AK82" s="5" t="s">
        <v>568</v>
      </c>
    </row>
    <row r="83" spans="3:37" x14ac:dyDescent="0.25">
      <c r="AK83" s="5" t="s">
        <v>51</v>
      </c>
    </row>
    <row r="84" spans="3:37" x14ac:dyDescent="0.25">
      <c r="AK84" s="11" t="s">
        <v>601</v>
      </c>
    </row>
    <row r="85" spans="3:37" x14ac:dyDescent="0.25">
      <c r="AK85" s="5" t="s">
        <v>281</v>
      </c>
    </row>
    <row r="86" spans="3:37" x14ac:dyDescent="0.25">
      <c r="AK86" s="10" t="s">
        <v>391</v>
      </c>
    </row>
    <row r="87" spans="3:37" x14ac:dyDescent="0.25">
      <c r="AK87" s="10" t="s">
        <v>261</v>
      </c>
    </row>
    <row r="88" spans="3:37" x14ac:dyDescent="0.25">
      <c r="AK88" s="5" t="s">
        <v>277</v>
      </c>
    </row>
    <row r="89" spans="3:37" x14ac:dyDescent="0.25">
      <c r="AK89" s="10" t="s">
        <v>561</v>
      </c>
    </row>
    <row r="90" spans="3:37" x14ac:dyDescent="0.25">
      <c r="AK90" s="10" t="s">
        <v>626</v>
      </c>
    </row>
    <row r="91" spans="3:37" x14ac:dyDescent="0.25">
      <c r="AK91" s="10" t="s">
        <v>137</v>
      </c>
    </row>
    <row r="92" spans="3:37" x14ac:dyDescent="0.25">
      <c r="C92" s="4"/>
      <c r="D92" s="4"/>
      <c r="E92" s="12"/>
      <c r="F92" s="4"/>
      <c r="G92" s="4"/>
      <c r="H92" s="12"/>
      <c r="I92" s="12"/>
      <c r="AK92" s="5" t="s">
        <v>434</v>
      </c>
    </row>
    <row r="93" spans="3:37" x14ac:dyDescent="0.25">
      <c r="AK93" s="10" t="s">
        <v>386</v>
      </c>
    </row>
    <row r="94" spans="3:37" x14ac:dyDescent="0.25">
      <c r="AK94" s="10" t="s">
        <v>297</v>
      </c>
    </row>
    <row r="95" spans="3:37" x14ac:dyDescent="0.25">
      <c r="AK95" s="5" t="s">
        <v>282</v>
      </c>
    </row>
    <row r="96" spans="3:37" x14ac:dyDescent="0.25">
      <c r="AK96" s="10" t="s">
        <v>613</v>
      </c>
    </row>
    <row r="97" spans="3:37" x14ac:dyDescent="0.25">
      <c r="AK97" s="10" t="s">
        <v>602</v>
      </c>
    </row>
    <row r="98" spans="3:37" x14ac:dyDescent="0.25">
      <c r="AK98" s="10" t="s">
        <v>293</v>
      </c>
    </row>
    <row r="99" spans="3:37" x14ac:dyDescent="0.25">
      <c r="AK99" s="10" t="s">
        <v>479</v>
      </c>
    </row>
    <row r="100" spans="3:37" x14ac:dyDescent="0.25">
      <c r="AK100" s="5" t="s">
        <v>395</v>
      </c>
    </row>
    <row r="101" spans="3:37" x14ac:dyDescent="0.25">
      <c r="AK101" s="5" t="s">
        <v>274</v>
      </c>
    </row>
    <row r="102" spans="3:37" x14ac:dyDescent="0.25">
      <c r="AK102" s="10" t="s">
        <v>566</v>
      </c>
    </row>
    <row r="103" spans="3:37" x14ac:dyDescent="0.25">
      <c r="AK103" s="10" t="s">
        <v>313</v>
      </c>
    </row>
    <row r="104" spans="3:37" x14ac:dyDescent="0.25">
      <c r="AK104" s="10" t="s">
        <v>392</v>
      </c>
    </row>
    <row r="105" spans="3:37" x14ac:dyDescent="0.25">
      <c r="AK105" s="10" t="s">
        <v>262</v>
      </c>
    </row>
    <row r="106" spans="3:37" x14ac:dyDescent="0.25">
      <c r="AK106" s="10" t="s">
        <v>527</v>
      </c>
    </row>
    <row r="107" spans="3:37" x14ac:dyDescent="0.25">
      <c r="AK107" s="10" t="s">
        <v>111</v>
      </c>
    </row>
    <row r="108" spans="3:37" x14ac:dyDescent="0.25">
      <c r="AK108" s="10" t="s">
        <v>164</v>
      </c>
    </row>
    <row r="109" spans="3:37" x14ac:dyDescent="0.25">
      <c r="AK109" s="10" t="s">
        <v>326</v>
      </c>
    </row>
    <row r="110" spans="3:37" x14ac:dyDescent="0.25">
      <c r="AK110" s="10" t="s">
        <v>482</v>
      </c>
    </row>
    <row r="111" spans="3:37" x14ac:dyDescent="0.25">
      <c r="AK111" s="10" t="s">
        <v>255</v>
      </c>
    </row>
    <row r="112" spans="3:37" x14ac:dyDescent="0.25">
      <c r="C112" s="4"/>
      <c r="D112" s="4"/>
      <c r="E112" s="12"/>
      <c r="F112" s="4"/>
      <c r="G112" s="4"/>
      <c r="H112" s="12"/>
      <c r="I112" s="12"/>
      <c r="AK112" s="10" t="s">
        <v>113</v>
      </c>
    </row>
    <row r="113" spans="37:37" x14ac:dyDescent="0.25">
      <c r="AK113" s="10" t="s">
        <v>298</v>
      </c>
    </row>
    <row r="114" spans="37:37" x14ac:dyDescent="0.25">
      <c r="AK114" s="10" t="s">
        <v>177</v>
      </c>
    </row>
    <row r="115" spans="37:37" x14ac:dyDescent="0.25">
      <c r="AK115" s="10" t="s">
        <v>579</v>
      </c>
    </row>
    <row r="116" spans="37:37" x14ac:dyDescent="0.25">
      <c r="AK116" s="10" t="s">
        <v>603</v>
      </c>
    </row>
    <row r="117" spans="37:37" x14ac:dyDescent="0.25">
      <c r="AK117" s="10" t="s">
        <v>480</v>
      </c>
    </row>
    <row r="118" spans="37:37" x14ac:dyDescent="0.25">
      <c r="AK118" s="5" t="s">
        <v>283</v>
      </c>
    </row>
    <row r="119" spans="37:37" x14ac:dyDescent="0.25">
      <c r="AK119" s="10" t="s">
        <v>614</v>
      </c>
    </row>
    <row r="120" spans="37:37" x14ac:dyDescent="0.25">
      <c r="AK120" s="10" t="s">
        <v>292</v>
      </c>
    </row>
    <row r="121" spans="37:37" x14ac:dyDescent="0.25">
      <c r="AK121" s="10" t="s">
        <v>435</v>
      </c>
    </row>
    <row r="122" spans="37:37" x14ac:dyDescent="0.25">
      <c r="AK122" s="10" t="s">
        <v>205</v>
      </c>
    </row>
    <row r="123" spans="37:37" x14ac:dyDescent="0.25">
      <c r="AK123" s="10" t="s">
        <v>376</v>
      </c>
    </row>
    <row r="124" spans="37:37" x14ac:dyDescent="0.25">
      <c r="AK124" s="5" t="s">
        <v>304</v>
      </c>
    </row>
    <row r="125" spans="37:37" x14ac:dyDescent="0.25">
      <c r="AK125" s="5" t="s">
        <v>286</v>
      </c>
    </row>
    <row r="126" spans="37:37" x14ac:dyDescent="0.25">
      <c r="AK126" s="10" t="s">
        <v>327</v>
      </c>
    </row>
    <row r="127" spans="37:37" x14ac:dyDescent="0.25">
      <c r="AK127" s="10" t="s">
        <v>483</v>
      </c>
    </row>
    <row r="128" spans="37:37" x14ac:dyDescent="0.25">
      <c r="AK128" s="5" t="s">
        <v>289</v>
      </c>
    </row>
    <row r="129" spans="37:37" x14ac:dyDescent="0.25">
      <c r="AK129" s="10" t="s">
        <v>256</v>
      </c>
    </row>
    <row r="130" spans="37:37" x14ac:dyDescent="0.25">
      <c r="AK130" s="10" t="s">
        <v>166</v>
      </c>
    </row>
    <row r="131" spans="37:37" x14ac:dyDescent="0.25">
      <c r="AK131" s="5" t="s">
        <v>102</v>
      </c>
    </row>
    <row r="132" spans="37:37" x14ac:dyDescent="0.25">
      <c r="AK132" s="5" t="s">
        <v>606</v>
      </c>
    </row>
    <row r="133" spans="37:37" x14ac:dyDescent="0.25">
      <c r="AK133" s="5" t="s">
        <v>422</v>
      </c>
    </row>
    <row r="134" spans="37:37" x14ac:dyDescent="0.25">
      <c r="AK134" s="10" t="s">
        <v>425</v>
      </c>
    </row>
    <row r="135" spans="37:37" x14ac:dyDescent="0.25">
      <c r="AK135" s="10" t="s">
        <v>176</v>
      </c>
    </row>
    <row r="136" spans="37:37" x14ac:dyDescent="0.25">
      <c r="AK136" s="10" t="s">
        <v>633</v>
      </c>
    </row>
    <row r="137" spans="37:37" x14ac:dyDescent="0.25">
      <c r="AK137" s="10" t="s">
        <v>299</v>
      </c>
    </row>
    <row r="138" spans="37:37" x14ac:dyDescent="0.25">
      <c r="AK138" s="10" t="s">
        <v>387</v>
      </c>
    </row>
    <row r="139" spans="37:37" x14ac:dyDescent="0.25">
      <c r="AK139" s="10" t="s">
        <v>420</v>
      </c>
    </row>
    <row r="140" spans="37:37" x14ac:dyDescent="0.25">
      <c r="AK140" s="10" t="s">
        <v>295</v>
      </c>
    </row>
    <row r="141" spans="37:37" x14ac:dyDescent="0.25">
      <c r="AK141" s="10" t="s">
        <v>469</v>
      </c>
    </row>
    <row r="142" spans="37:37" x14ac:dyDescent="0.25">
      <c r="AK142" s="10" t="s">
        <v>188</v>
      </c>
    </row>
    <row r="143" spans="37:37" x14ac:dyDescent="0.25">
      <c r="AK143" s="10" t="s">
        <v>221</v>
      </c>
    </row>
    <row r="144" spans="37:37" x14ac:dyDescent="0.25">
      <c r="AK144" s="5" t="s">
        <v>270</v>
      </c>
    </row>
    <row r="145" spans="3:37" x14ac:dyDescent="0.25">
      <c r="AK145" s="10" t="s">
        <v>191</v>
      </c>
    </row>
    <row r="146" spans="3:37" x14ac:dyDescent="0.25">
      <c r="AK146" s="10" t="s">
        <v>206</v>
      </c>
    </row>
    <row r="147" spans="3:37" x14ac:dyDescent="0.25">
      <c r="AK147" s="5" t="s">
        <v>305</v>
      </c>
    </row>
    <row r="148" spans="3:37" x14ac:dyDescent="0.25">
      <c r="AK148" s="10" t="s">
        <v>377</v>
      </c>
    </row>
    <row r="149" spans="3:37" x14ac:dyDescent="0.25">
      <c r="AK149" s="5" t="s">
        <v>501</v>
      </c>
    </row>
    <row r="150" spans="3:37" x14ac:dyDescent="0.25">
      <c r="AK150" s="5" t="s">
        <v>25</v>
      </c>
    </row>
    <row r="151" spans="3:37" x14ac:dyDescent="0.25">
      <c r="C151" s="4"/>
      <c r="D151" s="4"/>
      <c r="E151" s="12"/>
      <c r="F151" s="4"/>
      <c r="G151" s="4"/>
      <c r="H151" s="12"/>
      <c r="I151" s="12"/>
      <c r="AK151" s="10" t="s">
        <v>485</v>
      </c>
    </row>
    <row r="152" spans="3:37" x14ac:dyDescent="0.25">
      <c r="AK152" s="5" t="s">
        <v>290</v>
      </c>
    </row>
    <row r="153" spans="3:37" x14ac:dyDescent="0.25">
      <c r="AK153" s="10" t="s">
        <v>328</v>
      </c>
    </row>
    <row r="154" spans="3:37" x14ac:dyDescent="0.25">
      <c r="AK154" s="10" t="s">
        <v>165</v>
      </c>
    </row>
    <row r="155" spans="3:37" x14ac:dyDescent="0.25">
      <c r="AK155" s="10" t="s">
        <v>247</v>
      </c>
    </row>
    <row r="156" spans="3:37" x14ac:dyDescent="0.25">
      <c r="AK156" s="10" t="s">
        <v>516</v>
      </c>
    </row>
    <row r="157" spans="3:37" x14ac:dyDescent="0.25">
      <c r="AK157" s="10" t="s">
        <v>539</v>
      </c>
    </row>
    <row r="158" spans="3:37" x14ac:dyDescent="0.25">
      <c r="AK158" s="10" t="s">
        <v>319</v>
      </c>
    </row>
    <row r="159" spans="3:37" x14ac:dyDescent="0.25">
      <c r="AK159" s="5" t="s">
        <v>55</v>
      </c>
    </row>
    <row r="160" spans="3:37" x14ac:dyDescent="0.25">
      <c r="AK160" s="10" t="s">
        <v>180</v>
      </c>
    </row>
    <row r="161" spans="37:37" x14ac:dyDescent="0.25">
      <c r="AK161" s="5" t="s">
        <v>29</v>
      </c>
    </row>
    <row r="162" spans="37:37" x14ac:dyDescent="0.25">
      <c r="AK162" s="5" t="s">
        <v>90</v>
      </c>
    </row>
    <row r="163" spans="37:37" x14ac:dyDescent="0.25">
      <c r="AK163" s="10" t="s">
        <v>284</v>
      </c>
    </row>
    <row r="164" spans="37:37" x14ac:dyDescent="0.25">
      <c r="AK164" s="10" t="s">
        <v>378</v>
      </c>
    </row>
    <row r="165" spans="37:37" x14ac:dyDescent="0.25">
      <c r="AK165" s="5" t="s">
        <v>306</v>
      </c>
    </row>
    <row r="166" spans="37:37" x14ac:dyDescent="0.25">
      <c r="AK166" s="10" t="s">
        <v>331</v>
      </c>
    </row>
    <row r="167" spans="37:37" x14ac:dyDescent="0.25">
      <c r="AK167" s="5" t="s">
        <v>271</v>
      </c>
    </row>
    <row r="168" spans="37:37" x14ac:dyDescent="0.25">
      <c r="AK168" s="10" t="s">
        <v>100</v>
      </c>
    </row>
    <row r="169" spans="37:37" x14ac:dyDescent="0.25">
      <c r="AK169" s="10" t="s">
        <v>81</v>
      </c>
    </row>
    <row r="170" spans="37:37" x14ac:dyDescent="0.25">
      <c r="AK170" s="10" t="s">
        <v>94</v>
      </c>
    </row>
    <row r="171" spans="37:37" x14ac:dyDescent="0.25">
      <c r="AK171" s="10" t="s">
        <v>517</v>
      </c>
    </row>
    <row r="172" spans="37:37" x14ac:dyDescent="0.25">
      <c r="AK172" s="10" t="s">
        <v>251</v>
      </c>
    </row>
    <row r="173" spans="37:37" x14ac:dyDescent="0.25">
      <c r="AK173" s="10" t="s">
        <v>540</v>
      </c>
    </row>
    <row r="174" spans="37:37" x14ac:dyDescent="0.25">
      <c r="AK174" s="10" t="s">
        <v>308</v>
      </c>
    </row>
    <row r="175" spans="37:37" x14ac:dyDescent="0.25">
      <c r="AK175" s="10" t="s">
        <v>314</v>
      </c>
    </row>
    <row r="176" spans="37:37" x14ac:dyDescent="0.25">
      <c r="AK176" s="10" t="s">
        <v>383</v>
      </c>
    </row>
    <row r="177" spans="37:37" x14ac:dyDescent="0.25">
      <c r="AK177" s="10" t="s">
        <v>470</v>
      </c>
    </row>
    <row r="178" spans="37:37" x14ac:dyDescent="0.25">
      <c r="AK178" s="5" t="s">
        <v>273</v>
      </c>
    </row>
    <row r="179" spans="37:37" x14ac:dyDescent="0.25">
      <c r="AK179" s="10" t="s">
        <v>285</v>
      </c>
    </row>
    <row r="180" spans="37:37" x14ac:dyDescent="0.25">
      <c r="AK180" s="10" t="s">
        <v>181</v>
      </c>
    </row>
    <row r="181" spans="37:37" x14ac:dyDescent="0.25">
      <c r="AK181" s="10" t="s">
        <v>268</v>
      </c>
    </row>
    <row r="182" spans="37:37" x14ac:dyDescent="0.25">
      <c r="AK182" s="10" t="s">
        <v>134</v>
      </c>
    </row>
    <row r="183" spans="37:37" x14ac:dyDescent="0.25">
      <c r="AK183" s="10" t="s">
        <v>301</v>
      </c>
    </row>
    <row r="184" spans="37:37" x14ac:dyDescent="0.25">
      <c r="AK184" s="10" t="s">
        <v>192</v>
      </c>
    </row>
    <row r="185" spans="37:37" x14ac:dyDescent="0.25">
      <c r="AK185" s="10" t="s">
        <v>275</v>
      </c>
    </row>
    <row r="186" spans="37:37" x14ac:dyDescent="0.25">
      <c r="AK186" s="5" t="s">
        <v>287</v>
      </c>
    </row>
    <row r="187" spans="37:37" x14ac:dyDescent="0.25">
      <c r="AK187" s="10" t="s">
        <v>497</v>
      </c>
    </row>
    <row r="188" spans="37:37" x14ac:dyDescent="0.25">
      <c r="AK188" s="8" t="s">
        <v>600</v>
      </c>
    </row>
    <row r="189" spans="37:37" x14ac:dyDescent="0.25">
      <c r="AK189" s="5" t="s">
        <v>35</v>
      </c>
    </row>
    <row r="190" spans="37:37" x14ac:dyDescent="0.25">
      <c r="AK190" s="10" t="s">
        <v>320</v>
      </c>
    </row>
    <row r="191" spans="37:37" x14ac:dyDescent="0.25">
      <c r="AK191" s="10" t="s">
        <v>541</v>
      </c>
    </row>
    <row r="192" spans="37:37" x14ac:dyDescent="0.25">
      <c r="AK192" s="10" t="s">
        <v>252</v>
      </c>
    </row>
    <row r="193" spans="37:37" x14ac:dyDescent="0.25">
      <c r="AK193" s="10" t="s">
        <v>518</v>
      </c>
    </row>
    <row r="194" spans="37:37" x14ac:dyDescent="0.25">
      <c r="AK194" s="10" t="s">
        <v>340</v>
      </c>
    </row>
    <row r="195" spans="37:37" x14ac:dyDescent="0.25">
      <c r="AK195" s="10" t="s">
        <v>335</v>
      </c>
    </row>
    <row r="196" spans="37:37" x14ac:dyDescent="0.25">
      <c r="AK196" s="5" t="s">
        <v>421</v>
      </c>
    </row>
    <row r="197" spans="37:37" x14ac:dyDescent="0.25">
      <c r="AK197" s="10" t="s">
        <v>529</v>
      </c>
    </row>
    <row r="198" spans="37:37" x14ac:dyDescent="0.25">
      <c r="AK198" s="10" t="s">
        <v>196</v>
      </c>
    </row>
    <row r="199" spans="37:37" x14ac:dyDescent="0.25">
      <c r="AK199" s="10" t="s">
        <v>441</v>
      </c>
    </row>
    <row r="200" spans="37:37" x14ac:dyDescent="0.25">
      <c r="AK200" s="10" t="s">
        <v>32</v>
      </c>
    </row>
    <row r="201" spans="37:37" x14ac:dyDescent="0.25">
      <c r="AK201" s="10" t="s">
        <v>466</v>
      </c>
    </row>
    <row r="202" spans="37:37" x14ac:dyDescent="0.25">
      <c r="AK202" s="10" t="s">
        <v>302</v>
      </c>
    </row>
    <row r="203" spans="37:37" x14ac:dyDescent="0.25">
      <c r="AK203" s="10" t="s">
        <v>445</v>
      </c>
    </row>
    <row r="204" spans="37:37" x14ac:dyDescent="0.25">
      <c r="AK204" s="10" t="s">
        <v>498</v>
      </c>
    </row>
    <row r="205" spans="37:37" x14ac:dyDescent="0.25">
      <c r="AK205" s="5" t="s">
        <v>288</v>
      </c>
    </row>
    <row r="206" spans="37:37" x14ac:dyDescent="0.25">
      <c r="AK206" s="10" t="s">
        <v>300</v>
      </c>
    </row>
    <row r="207" spans="37:37" x14ac:dyDescent="0.25">
      <c r="AK207" s="10" t="s">
        <v>276</v>
      </c>
    </row>
    <row r="208" spans="37:37" x14ac:dyDescent="0.25">
      <c r="AK208" s="5" t="s">
        <v>67</v>
      </c>
    </row>
    <row r="209" spans="37:37" x14ac:dyDescent="0.25">
      <c r="AK209" s="10" t="s">
        <v>384</v>
      </c>
    </row>
    <row r="210" spans="37:37" x14ac:dyDescent="0.25">
      <c r="AK210" s="10" t="s">
        <v>408</v>
      </c>
    </row>
    <row r="211" spans="37:37" x14ac:dyDescent="0.25">
      <c r="AK211" s="5" t="s">
        <v>54</v>
      </c>
    </row>
    <row r="212" spans="37:37" x14ac:dyDescent="0.25">
      <c r="AK212" s="10" t="s">
        <v>442</v>
      </c>
    </row>
    <row r="213" spans="37:37" x14ac:dyDescent="0.25">
      <c r="AK213" s="10" t="s">
        <v>307</v>
      </c>
    </row>
    <row r="214" spans="37:37" x14ac:dyDescent="0.25">
      <c r="AK214" s="10" t="s">
        <v>530</v>
      </c>
    </row>
    <row r="215" spans="37:37" x14ac:dyDescent="0.25">
      <c r="AK215" s="10" t="s">
        <v>502</v>
      </c>
    </row>
    <row r="216" spans="37:37" x14ac:dyDescent="0.25">
      <c r="AK216" s="10" t="s">
        <v>467</v>
      </c>
    </row>
    <row r="217" spans="37:37" x14ac:dyDescent="0.25">
      <c r="AK217" s="10" t="s">
        <v>303</v>
      </c>
    </row>
    <row r="218" spans="37:37" x14ac:dyDescent="0.25">
      <c r="AK218" s="10" t="s">
        <v>193</v>
      </c>
    </row>
    <row r="219" spans="37:37" x14ac:dyDescent="0.25">
      <c r="AK219" s="5" t="s">
        <v>548</v>
      </c>
    </row>
    <row r="220" spans="37:37" x14ac:dyDescent="0.25">
      <c r="AK220" s="10" t="s">
        <v>535</v>
      </c>
    </row>
    <row r="221" spans="37:37" x14ac:dyDescent="0.25">
      <c r="AK221" s="10" t="s">
        <v>446</v>
      </c>
    </row>
    <row r="222" spans="37:37" x14ac:dyDescent="0.25">
      <c r="AK222" s="5" t="s">
        <v>279</v>
      </c>
    </row>
    <row r="223" spans="37:37" x14ac:dyDescent="0.25">
      <c r="AK223" s="5" t="s">
        <v>269</v>
      </c>
    </row>
    <row r="224" spans="37:37" x14ac:dyDescent="0.25">
      <c r="AK224" s="5" t="s">
        <v>278</v>
      </c>
    </row>
    <row r="225" spans="37:37" x14ac:dyDescent="0.25">
      <c r="AK225" s="10" t="s">
        <v>521</v>
      </c>
    </row>
    <row r="226" spans="37:37" x14ac:dyDescent="0.25">
      <c r="AK226" s="10" t="s">
        <v>543</v>
      </c>
    </row>
    <row r="227" spans="37:37" x14ac:dyDescent="0.25">
      <c r="AK227" s="10" t="s">
        <v>509</v>
      </c>
    </row>
    <row r="228" spans="37:37" x14ac:dyDescent="0.25">
      <c r="AK228" s="10" t="s">
        <v>364</v>
      </c>
    </row>
    <row r="229" spans="37:37" x14ac:dyDescent="0.25">
      <c r="AK229" s="10" t="s">
        <v>409</v>
      </c>
    </row>
    <row r="230" spans="37:37" x14ac:dyDescent="0.25">
      <c r="AK230" s="10" t="s">
        <v>381</v>
      </c>
    </row>
    <row r="231" spans="37:37" x14ac:dyDescent="0.25">
      <c r="AK231" s="10" t="s">
        <v>512</v>
      </c>
    </row>
    <row r="232" spans="37:37" x14ac:dyDescent="0.25">
      <c r="AK232" s="10" t="s">
        <v>438</v>
      </c>
    </row>
    <row r="233" spans="37:37" x14ac:dyDescent="0.25">
      <c r="AK233" s="10" t="s">
        <v>531</v>
      </c>
    </row>
    <row r="234" spans="37:37" x14ac:dyDescent="0.25">
      <c r="AK234" s="10" t="s">
        <v>443</v>
      </c>
    </row>
    <row r="235" spans="37:37" x14ac:dyDescent="0.25">
      <c r="AK235" s="11" t="s">
        <v>427</v>
      </c>
    </row>
    <row r="236" spans="37:37" x14ac:dyDescent="0.25">
      <c r="AK236" s="10" t="s">
        <v>503</v>
      </c>
    </row>
    <row r="237" spans="37:37" x14ac:dyDescent="0.25">
      <c r="AK237" s="5" t="s">
        <v>266</v>
      </c>
    </row>
    <row r="238" spans="37:37" x14ac:dyDescent="0.25">
      <c r="AK238" s="10" t="s">
        <v>457</v>
      </c>
    </row>
    <row r="239" spans="37:37" x14ac:dyDescent="0.25">
      <c r="AK239" s="5" t="s">
        <v>321</v>
      </c>
    </row>
    <row r="240" spans="37:37" x14ac:dyDescent="0.25">
      <c r="AK240" s="5" t="s">
        <v>341</v>
      </c>
    </row>
    <row r="241" spans="37:37" x14ac:dyDescent="0.25">
      <c r="AK241" s="10" t="s">
        <v>413</v>
      </c>
    </row>
    <row r="242" spans="37:37" x14ac:dyDescent="0.25">
      <c r="AK242" s="10" t="s">
        <v>544</v>
      </c>
    </row>
    <row r="243" spans="37:37" x14ac:dyDescent="0.25">
      <c r="AK243" s="10" t="s">
        <v>522</v>
      </c>
    </row>
    <row r="244" spans="37:37" x14ac:dyDescent="0.25">
      <c r="AK244" s="10" t="s">
        <v>510</v>
      </c>
    </row>
    <row r="245" spans="37:37" x14ac:dyDescent="0.25">
      <c r="AK245" s="10" t="s">
        <v>491</v>
      </c>
    </row>
    <row r="246" spans="37:37" x14ac:dyDescent="0.25">
      <c r="AK246" s="10" t="s">
        <v>410</v>
      </c>
    </row>
    <row r="247" spans="37:37" x14ac:dyDescent="0.25">
      <c r="AK247" s="10" t="s">
        <v>555</v>
      </c>
    </row>
    <row r="248" spans="37:37" x14ac:dyDescent="0.25">
      <c r="AK248" s="10" t="s">
        <v>569</v>
      </c>
    </row>
    <row r="249" spans="37:37" x14ac:dyDescent="0.25">
      <c r="AK249" s="10" t="s">
        <v>458</v>
      </c>
    </row>
    <row r="250" spans="37:37" x14ac:dyDescent="0.25">
      <c r="AK250" s="10" t="s">
        <v>183</v>
      </c>
    </row>
    <row r="251" spans="37:37" x14ac:dyDescent="0.25">
      <c r="AK251" s="10" t="s">
        <v>414</v>
      </c>
    </row>
    <row r="252" spans="37:37" x14ac:dyDescent="0.25">
      <c r="AK252" s="10" t="s">
        <v>628</v>
      </c>
    </row>
    <row r="253" spans="37:37" x14ac:dyDescent="0.25">
      <c r="AK253" s="10" t="s">
        <v>523</v>
      </c>
    </row>
    <row r="254" spans="37:37" x14ac:dyDescent="0.25">
      <c r="AK254" s="10" t="s">
        <v>202</v>
      </c>
    </row>
    <row r="255" spans="37:37" x14ac:dyDescent="0.25">
      <c r="AK255" s="10" t="s">
        <v>545</v>
      </c>
    </row>
    <row r="256" spans="37:37" x14ac:dyDescent="0.25">
      <c r="AK256" s="10" t="s">
        <v>511</v>
      </c>
    </row>
    <row r="257" spans="37:37" x14ac:dyDescent="0.25">
      <c r="AK257" s="10" t="s">
        <v>570</v>
      </c>
    </row>
    <row r="258" spans="37:37" x14ac:dyDescent="0.25">
      <c r="AK258" s="10" t="s">
        <v>556</v>
      </c>
    </row>
    <row r="259" spans="37:37" x14ac:dyDescent="0.25">
      <c r="AK259" s="10" t="s">
        <v>184</v>
      </c>
    </row>
    <row r="260" spans="37:37" x14ac:dyDescent="0.25">
      <c r="AK260" s="10" t="s">
        <v>459</v>
      </c>
    </row>
    <row r="261" spans="37:37" x14ac:dyDescent="0.25">
      <c r="AK261" s="10" t="s">
        <v>415</v>
      </c>
    </row>
    <row r="262" spans="37:37" x14ac:dyDescent="0.25">
      <c r="AK262" s="10" t="s">
        <v>493</v>
      </c>
    </row>
    <row r="263" spans="37:37" x14ac:dyDescent="0.25">
      <c r="AK263" s="10" t="s">
        <v>452</v>
      </c>
    </row>
    <row r="264" spans="37:37" x14ac:dyDescent="0.25">
      <c r="AK264" s="10" t="s">
        <v>404</v>
      </c>
    </row>
    <row r="265" spans="37:37" x14ac:dyDescent="0.25">
      <c r="AK265" s="10" t="s">
        <v>557</v>
      </c>
    </row>
    <row r="266" spans="37:37" x14ac:dyDescent="0.25">
      <c r="AK266" s="10" t="s">
        <v>571</v>
      </c>
    </row>
    <row r="267" spans="37:37" x14ac:dyDescent="0.25">
      <c r="AK267" s="10" t="s">
        <v>227</v>
      </c>
    </row>
    <row r="268" spans="37:37" x14ac:dyDescent="0.25">
      <c r="AK268" s="10" t="s">
        <v>487</v>
      </c>
    </row>
    <row r="269" spans="37:37" x14ac:dyDescent="0.25">
      <c r="AK269" s="10" t="s">
        <v>405</v>
      </c>
    </row>
    <row r="270" spans="37:37" x14ac:dyDescent="0.25">
      <c r="AK270" s="10" t="s">
        <v>342</v>
      </c>
    </row>
    <row r="271" spans="37:37" x14ac:dyDescent="0.25">
      <c r="AK271" s="10" t="s">
        <v>322</v>
      </c>
    </row>
    <row r="272" spans="37:37" x14ac:dyDescent="0.25">
      <c r="AK272" s="10" t="s">
        <v>396</v>
      </c>
    </row>
    <row r="273" spans="37:37" x14ac:dyDescent="0.25">
      <c r="AK273" s="10" t="s">
        <v>103</v>
      </c>
    </row>
    <row r="274" spans="37:37" x14ac:dyDescent="0.25">
      <c r="AK274" s="10" t="s">
        <v>436</v>
      </c>
    </row>
    <row r="275" spans="37:37" x14ac:dyDescent="0.25">
      <c r="AK275" s="10" t="s">
        <v>496</v>
      </c>
    </row>
    <row r="276" spans="37:37" x14ac:dyDescent="0.25">
      <c r="AK276" s="10" t="s">
        <v>406</v>
      </c>
    </row>
    <row r="277" spans="37:37" x14ac:dyDescent="0.25">
      <c r="AK277" s="10" t="s">
        <v>454</v>
      </c>
    </row>
    <row r="278" spans="37:37" x14ac:dyDescent="0.25">
      <c r="AK278" s="10" t="s">
        <v>397</v>
      </c>
    </row>
    <row r="279" spans="37:37" x14ac:dyDescent="0.25">
      <c r="AK279" s="10" t="s">
        <v>343</v>
      </c>
    </row>
    <row r="280" spans="37:37" x14ac:dyDescent="0.25">
      <c r="AK280" s="10" t="s">
        <v>323</v>
      </c>
    </row>
    <row r="281" spans="37:37" x14ac:dyDescent="0.25">
      <c r="AK281" s="10" t="s">
        <v>332</v>
      </c>
    </row>
    <row r="282" spans="37:37" x14ac:dyDescent="0.25">
      <c r="AK282" s="10" t="s">
        <v>607</v>
      </c>
    </row>
    <row r="283" spans="37:37" x14ac:dyDescent="0.25">
      <c r="AK283" s="10" t="s">
        <v>125</v>
      </c>
    </row>
    <row r="284" spans="37:37" x14ac:dyDescent="0.25">
      <c r="AK284" s="10" t="s">
        <v>488</v>
      </c>
    </row>
    <row r="285" spans="37:37" x14ac:dyDescent="0.25">
      <c r="AK285" s="10" t="s">
        <v>630</v>
      </c>
    </row>
    <row r="286" spans="37:37" x14ac:dyDescent="0.25">
      <c r="AK286" s="10" t="s">
        <v>118</v>
      </c>
    </row>
    <row r="287" spans="37:37" x14ac:dyDescent="0.25">
      <c r="AK287" s="10" t="s">
        <v>344</v>
      </c>
    </row>
    <row r="288" spans="37:37" x14ac:dyDescent="0.25">
      <c r="AK288" s="10" t="s">
        <v>333</v>
      </c>
    </row>
    <row r="289" spans="37:37" x14ac:dyDescent="0.25">
      <c r="AK289" s="10" t="s">
        <v>608</v>
      </c>
    </row>
    <row r="290" spans="37:37" x14ac:dyDescent="0.25">
      <c r="AK290" s="10" t="s">
        <v>324</v>
      </c>
    </row>
    <row r="291" spans="37:37" x14ac:dyDescent="0.25">
      <c r="AK291" s="10" t="s">
        <v>398</v>
      </c>
    </row>
    <row r="292" spans="37:37" x14ac:dyDescent="0.25">
      <c r="AK292" s="10" t="s">
        <v>315</v>
      </c>
    </row>
    <row r="293" spans="37:37" x14ac:dyDescent="0.25">
      <c r="AK293" s="10" t="s">
        <v>309</v>
      </c>
    </row>
    <row r="294" spans="37:37" x14ac:dyDescent="0.25">
      <c r="AK294" s="10" t="s">
        <v>329</v>
      </c>
    </row>
    <row r="295" spans="37:37" x14ac:dyDescent="0.25">
      <c r="AK295" s="10" t="s">
        <v>334</v>
      </c>
    </row>
    <row r="296" spans="37:37" x14ac:dyDescent="0.25">
      <c r="AK296" s="10" t="s">
        <v>455</v>
      </c>
    </row>
    <row r="297" spans="37:37" x14ac:dyDescent="0.25">
      <c r="AK297" s="10" t="s">
        <v>316</v>
      </c>
    </row>
    <row r="298" spans="37:37" x14ac:dyDescent="0.25">
      <c r="AK298" s="10" t="s">
        <v>310</v>
      </c>
    </row>
    <row r="299" spans="37:37" x14ac:dyDescent="0.25">
      <c r="AK299" s="10" t="s">
        <v>330</v>
      </c>
    </row>
    <row r="300" spans="37:37" x14ac:dyDescent="0.25">
      <c r="AK300" s="10" t="s">
        <v>121</v>
      </c>
    </row>
    <row r="301" spans="37:37" x14ac:dyDescent="0.25">
      <c r="AK301" s="10" t="s">
        <v>317</v>
      </c>
    </row>
    <row r="302" spans="37:37" x14ac:dyDescent="0.25">
      <c r="AK302" s="10" t="s">
        <v>311</v>
      </c>
    </row>
    <row r="303" spans="37:37" x14ac:dyDescent="0.25">
      <c r="AK303" s="10" t="s">
        <v>549</v>
      </c>
    </row>
    <row r="304" spans="37:37" x14ac:dyDescent="0.25">
      <c r="AK304" s="10" t="s">
        <v>122</v>
      </c>
    </row>
    <row r="305" spans="37:37" x14ac:dyDescent="0.25">
      <c r="AK305" s="10" t="s">
        <v>456</v>
      </c>
    </row>
    <row r="306" spans="37:37" x14ac:dyDescent="0.25">
      <c r="AK306" s="10" t="s">
        <v>336</v>
      </c>
    </row>
    <row r="307" spans="37:37" x14ac:dyDescent="0.25">
      <c r="AK307" s="10" t="s">
        <v>361</v>
      </c>
    </row>
    <row r="308" spans="37:37" x14ac:dyDescent="0.25">
      <c r="AK308" s="10" t="s">
        <v>138</v>
      </c>
    </row>
    <row r="309" spans="37:37" x14ac:dyDescent="0.25">
      <c r="AK309" s="10" t="s">
        <v>233</v>
      </c>
    </row>
    <row r="310" spans="37:37" x14ac:dyDescent="0.25">
      <c r="AK310" s="10" t="s">
        <v>550</v>
      </c>
    </row>
    <row r="311" spans="37:37" x14ac:dyDescent="0.25">
      <c r="AK311" s="10" t="s">
        <v>228</v>
      </c>
    </row>
    <row r="312" spans="37:37" x14ac:dyDescent="0.25">
      <c r="AK312" s="10" t="s">
        <v>347</v>
      </c>
    </row>
    <row r="313" spans="37:37" x14ac:dyDescent="0.25">
      <c r="AK313" s="10" t="s">
        <v>362</v>
      </c>
    </row>
    <row r="314" spans="37:37" x14ac:dyDescent="0.25">
      <c r="AK314" s="10" t="s">
        <v>461</v>
      </c>
    </row>
    <row r="315" spans="37:37" x14ac:dyDescent="0.25">
      <c r="AK315" s="10" t="s">
        <v>357</v>
      </c>
    </row>
    <row r="316" spans="37:37" x14ac:dyDescent="0.25">
      <c r="AK316" s="10" t="s">
        <v>552</v>
      </c>
    </row>
    <row r="317" spans="37:37" x14ac:dyDescent="0.25">
      <c r="AK317" s="10" t="s">
        <v>124</v>
      </c>
    </row>
    <row r="318" spans="37:37" x14ac:dyDescent="0.25">
      <c r="AK318" s="10" t="s">
        <v>363</v>
      </c>
    </row>
    <row r="319" spans="37:37" x14ac:dyDescent="0.25">
      <c r="AK319" s="10" t="s">
        <v>462</v>
      </c>
    </row>
    <row r="320" spans="37:37" x14ac:dyDescent="0.25">
      <c r="AK320" t="s">
        <v>133</v>
      </c>
    </row>
    <row r="321" spans="2:37" x14ac:dyDescent="0.25">
      <c r="B321" s="10"/>
      <c r="AK321" t="s">
        <v>129</v>
      </c>
    </row>
    <row r="322" spans="2:37" x14ac:dyDescent="0.25">
      <c r="B322" s="10"/>
      <c r="AK322" t="s">
        <v>152</v>
      </c>
    </row>
    <row r="323" spans="2:37" x14ac:dyDescent="0.25">
      <c r="B323" s="10"/>
    </row>
    <row r="324" spans="2:37" x14ac:dyDescent="0.25">
      <c r="B324" s="10"/>
    </row>
    <row r="325" spans="2:37" x14ac:dyDescent="0.25">
      <c r="B325" s="10"/>
    </row>
    <row r="326" spans="2:37" x14ac:dyDescent="0.25">
      <c r="B326" s="10"/>
    </row>
    <row r="327" spans="2:37" x14ac:dyDescent="0.25">
      <c r="B327" s="10"/>
    </row>
    <row r="328" spans="2:37" x14ac:dyDescent="0.25">
      <c r="B328" s="10"/>
    </row>
    <row r="329" spans="2:37" x14ac:dyDescent="0.25">
      <c r="B329" s="10"/>
    </row>
    <row r="330" spans="2:37" x14ac:dyDescent="0.25">
      <c r="B330" s="10"/>
    </row>
    <row r="331" spans="2:37" x14ac:dyDescent="0.25">
      <c r="B331" s="10"/>
    </row>
    <row r="332" spans="2:37" x14ac:dyDescent="0.25">
      <c r="B332" s="10"/>
    </row>
    <row r="333" spans="2:37" x14ac:dyDescent="0.25">
      <c r="B333" s="10"/>
    </row>
    <row r="334" spans="2:37" x14ac:dyDescent="0.25">
      <c r="B334" s="10"/>
    </row>
    <row r="335" spans="2:37" x14ac:dyDescent="0.25">
      <c r="B335" s="10"/>
    </row>
    <row r="336" spans="2:37" x14ac:dyDescent="0.25">
      <c r="B336" s="10"/>
    </row>
    <row r="337" spans="2:2" x14ac:dyDescent="0.25">
      <c r="B337" s="10"/>
    </row>
    <row r="338" spans="2:2" x14ac:dyDescent="0.25">
      <c r="B338" s="10"/>
    </row>
    <row r="339" spans="2:2" x14ac:dyDescent="0.25">
      <c r="B339" s="10"/>
    </row>
    <row r="340" spans="2:2" x14ac:dyDescent="0.25">
      <c r="B340" s="10"/>
    </row>
    <row r="341" spans="2:2" x14ac:dyDescent="0.25">
      <c r="B341" s="10"/>
    </row>
    <row r="342" spans="2:2" x14ac:dyDescent="0.25">
      <c r="B342" s="10"/>
    </row>
    <row r="343" spans="2:2" x14ac:dyDescent="0.25">
      <c r="B343" s="10"/>
    </row>
    <row r="344" spans="2:2" x14ac:dyDescent="0.25">
      <c r="B344" s="10"/>
    </row>
    <row r="345" spans="2:2" x14ac:dyDescent="0.25">
      <c r="B345" s="10"/>
    </row>
    <row r="346" spans="2:2" x14ac:dyDescent="0.25">
      <c r="B346" s="10"/>
    </row>
    <row r="347" spans="2:2" x14ac:dyDescent="0.25">
      <c r="B347" s="10"/>
    </row>
    <row r="348" spans="2:2" x14ac:dyDescent="0.25">
      <c r="B348" s="10"/>
    </row>
    <row r="349" spans="2:2" x14ac:dyDescent="0.25">
      <c r="B349" s="10"/>
    </row>
    <row r="350" spans="2:2" x14ac:dyDescent="0.25">
      <c r="B350" s="10"/>
    </row>
    <row r="351" spans="2:2" x14ac:dyDescent="0.25">
      <c r="B351" s="5"/>
    </row>
    <row r="352" spans="2:2" x14ac:dyDescent="0.25">
      <c r="B352" s="10"/>
    </row>
    <row r="353" spans="2:9" x14ac:dyDescent="0.25">
      <c r="B353" s="10"/>
    </row>
    <row r="354" spans="2:9" x14ac:dyDescent="0.25">
      <c r="B354" s="5"/>
    </row>
    <row r="355" spans="2:9" x14ac:dyDescent="0.25">
      <c r="B355" s="5"/>
    </row>
    <row r="356" spans="2:9" x14ac:dyDescent="0.25">
      <c r="B356" s="10"/>
      <c r="C356" s="4"/>
      <c r="D356" s="4"/>
      <c r="E356" s="12"/>
      <c r="F356" s="4"/>
      <c r="G356" s="4"/>
      <c r="H356" s="12"/>
      <c r="I356" s="12"/>
    </row>
    <row r="357" spans="2:9" x14ac:dyDescent="0.25">
      <c r="B357" s="10"/>
    </row>
    <row r="358" spans="2:9" x14ac:dyDescent="0.25">
      <c r="B358" s="10"/>
    </row>
    <row r="359" spans="2:9" x14ac:dyDescent="0.25">
      <c r="B359" s="10"/>
    </row>
    <row r="360" spans="2:9" x14ac:dyDescent="0.25">
      <c r="B360" s="10"/>
    </row>
    <row r="361" spans="2:9" x14ac:dyDescent="0.25">
      <c r="B361" s="10"/>
    </row>
    <row r="362" spans="2:9" x14ac:dyDescent="0.25">
      <c r="B362" s="10"/>
    </row>
    <row r="363" spans="2:9" x14ac:dyDescent="0.25">
      <c r="B363" s="10"/>
    </row>
    <row r="364" spans="2:9" x14ac:dyDescent="0.25">
      <c r="B364" s="10"/>
    </row>
    <row r="365" spans="2:9" x14ac:dyDescent="0.25">
      <c r="B365" s="10"/>
    </row>
    <row r="366" spans="2:9" x14ac:dyDescent="0.25">
      <c r="B366" s="10"/>
    </row>
    <row r="367" spans="2:9" x14ac:dyDescent="0.25">
      <c r="B367" s="5"/>
    </row>
    <row r="368" spans="2:9" x14ac:dyDescent="0.25">
      <c r="B368" s="10"/>
    </row>
    <row r="369" spans="2:9" x14ac:dyDescent="0.25">
      <c r="B369" s="10"/>
    </row>
    <row r="370" spans="2:9" x14ac:dyDescent="0.25">
      <c r="B370" s="10"/>
    </row>
    <row r="371" spans="2:9" x14ac:dyDescent="0.25">
      <c r="B371" s="10"/>
    </row>
    <row r="372" spans="2:9" x14ac:dyDescent="0.25">
      <c r="B372" s="10"/>
    </row>
    <row r="373" spans="2:9" x14ac:dyDescent="0.25">
      <c r="B373" s="10"/>
    </row>
    <row r="374" spans="2:9" x14ac:dyDescent="0.25">
      <c r="B374" s="10"/>
    </row>
    <row r="375" spans="2:9" x14ac:dyDescent="0.25">
      <c r="B375" s="10"/>
    </row>
    <row r="376" spans="2:9" x14ac:dyDescent="0.25">
      <c r="B376" s="5"/>
    </row>
    <row r="377" spans="2:9" x14ac:dyDescent="0.25">
      <c r="B377" s="10"/>
    </row>
    <row r="378" spans="2:9" x14ac:dyDescent="0.25">
      <c r="B378" s="10"/>
      <c r="C378" s="4"/>
      <c r="D378" s="4"/>
      <c r="E378" s="12"/>
      <c r="F378" s="4"/>
      <c r="G378" s="4"/>
      <c r="H378" s="12"/>
      <c r="I378" s="12"/>
    </row>
    <row r="379" spans="2:9" x14ac:dyDescent="0.25">
      <c r="B379" s="10"/>
    </row>
    <row r="380" spans="2:9" x14ac:dyDescent="0.25">
      <c r="B380" s="10"/>
    </row>
    <row r="381" spans="2:9" x14ac:dyDescent="0.25">
      <c r="B381" s="10"/>
    </row>
    <row r="382" spans="2:9" x14ac:dyDescent="0.25">
      <c r="B382" s="10"/>
    </row>
    <row r="383" spans="2:9" x14ac:dyDescent="0.25">
      <c r="B383" s="10"/>
    </row>
    <row r="384" spans="2:9" x14ac:dyDescent="0.25">
      <c r="B384" s="5"/>
    </row>
    <row r="385" spans="2:2" x14ac:dyDescent="0.25">
      <c r="B385" s="10"/>
    </row>
    <row r="386" spans="2:2" x14ac:dyDescent="0.25">
      <c r="B386" s="5"/>
    </row>
    <row r="387" spans="2:2" x14ac:dyDescent="0.25">
      <c r="B387" s="5"/>
    </row>
    <row r="388" spans="2:2" x14ac:dyDescent="0.25">
      <c r="B388" s="10"/>
    </row>
    <row r="389" spans="2:2" x14ac:dyDescent="0.25">
      <c r="B389" s="5"/>
    </row>
    <row r="390" spans="2:2" x14ac:dyDescent="0.25">
      <c r="B390" s="5"/>
    </row>
    <row r="391" spans="2:2" x14ac:dyDescent="0.25">
      <c r="B391" s="5"/>
    </row>
    <row r="392" spans="2:2" x14ac:dyDescent="0.25">
      <c r="B392" s="10"/>
    </row>
    <row r="393" spans="2:2" x14ac:dyDescent="0.25">
      <c r="B393" s="10"/>
    </row>
    <row r="394" spans="2:2" x14ac:dyDescent="0.25">
      <c r="B394" s="10"/>
    </row>
    <row r="395" spans="2:2" x14ac:dyDescent="0.25">
      <c r="B395" s="10"/>
    </row>
    <row r="396" spans="2:2" x14ac:dyDescent="0.25">
      <c r="B396" s="10"/>
    </row>
    <row r="397" spans="2:2" x14ac:dyDescent="0.25">
      <c r="B397" s="10"/>
    </row>
    <row r="398" spans="2:2" x14ac:dyDescent="0.25">
      <c r="B398" s="5"/>
    </row>
    <row r="399" spans="2:2" x14ac:dyDescent="0.25">
      <c r="B399" s="10"/>
    </row>
    <row r="400" spans="2:2" x14ac:dyDescent="0.25">
      <c r="B400" s="5"/>
    </row>
    <row r="401" spans="2:2" x14ac:dyDescent="0.25">
      <c r="B401" s="10"/>
    </row>
    <row r="402" spans="2:2" x14ac:dyDescent="0.25">
      <c r="B402" s="10"/>
    </row>
    <row r="403" spans="2:2" x14ac:dyDescent="0.25">
      <c r="B403" s="10"/>
    </row>
    <row r="404" spans="2:2" x14ac:dyDescent="0.25">
      <c r="B404" s="10"/>
    </row>
    <row r="405" spans="2:2" x14ac:dyDescent="0.25">
      <c r="B405" s="10"/>
    </row>
    <row r="406" spans="2:2" x14ac:dyDescent="0.25">
      <c r="B406" s="5"/>
    </row>
    <row r="407" spans="2:2" x14ac:dyDescent="0.25">
      <c r="B407" s="10"/>
    </row>
    <row r="408" spans="2:2" x14ac:dyDescent="0.25">
      <c r="B408" s="5"/>
    </row>
    <row r="409" spans="2:2" x14ac:dyDescent="0.25">
      <c r="B409" s="5"/>
    </row>
    <row r="410" spans="2:2" x14ac:dyDescent="0.25">
      <c r="B410" s="5"/>
    </row>
    <row r="411" spans="2:2" x14ac:dyDescent="0.25">
      <c r="B411" s="10"/>
    </row>
    <row r="412" spans="2:2" x14ac:dyDescent="0.25">
      <c r="B412" s="10"/>
    </row>
    <row r="413" spans="2:2" x14ac:dyDescent="0.25">
      <c r="B413" s="5"/>
    </row>
    <row r="414" spans="2:2" x14ac:dyDescent="0.25">
      <c r="B414" s="5"/>
    </row>
    <row r="415" spans="2:2" x14ac:dyDescent="0.25">
      <c r="B415" s="10"/>
    </row>
    <row r="416" spans="2:2" x14ac:dyDescent="0.25">
      <c r="B416" s="5"/>
    </row>
    <row r="417" spans="2:2" x14ac:dyDescent="0.25">
      <c r="B417" s="10"/>
    </row>
    <row r="418" spans="2:2" x14ac:dyDescent="0.25">
      <c r="B418" s="10"/>
    </row>
    <row r="419" spans="2:2" x14ac:dyDescent="0.25">
      <c r="B419" s="10"/>
    </row>
    <row r="420" spans="2:2" x14ac:dyDescent="0.25">
      <c r="B420" s="10"/>
    </row>
    <row r="421" spans="2:2" x14ac:dyDescent="0.25">
      <c r="B421" s="10"/>
    </row>
    <row r="422" spans="2:2" x14ac:dyDescent="0.25">
      <c r="B422" s="10"/>
    </row>
    <row r="423" spans="2:2" x14ac:dyDescent="0.25">
      <c r="B423" s="10"/>
    </row>
    <row r="424" spans="2:2" x14ac:dyDescent="0.25">
      <c r="B424" s="10"/>
    </row>
    <row r="425" spans="2:2" x14ac:dyDescent="0.25">
      <c r="B425" s="10"/>
    </row>
    <row r="426" spans="2:2" x14ac:dyDescent="0.25">
      <c r="B426" s="10"/>
    </row>
    <row r="427" spans="2:2" x14ac:dyDescent="0.25">
      <c r="B427" s="5"/>
    </row>
    <row r="428" spans="2:2" x14ac:dyDescent="0.25">
      <c r="B428" s="10"/>
    </row>
    <row r="429" spans="2:2" x14ac:dyDescent="0.25">
      <c r="B429" s="10"/>
    </row>
    <row r="430" spans="2:2" x14ac:dyDescent="0.25">
      <c r="B430" s="10"/>
    </row>
    <row r="431" spans="2:2" x14ac:dyDescent="0.25">
      <c r="B431" s="10"/>
    </row>
    <row r="432" spans="2:2" x14ac:dyDescent="0.25">
      <c r="B432" s="10"/>
    </row>
    <row r="433" spans="2:9" x14ac:dyDescent="0.25">
      <c r="B433" s="10"/>
    </row>
    <row r="434" spans="2:9" x14ac:dyDescent="0.25">
      <c r="B434" s="10"/>
    </row>
    <row r="435" spans="2:9" x14ac:dyDescent="0.25">
      <c r="B435" s="10"/>
    </row>
    <row r="436" spans="2:9" x14ac:dyDescent="0.25">
      <c r="B436" s="5"/>
    </row>
    <row r="437" spans="2:9" x14ac:dyDescent="0.25">
      <c r="B437" s="10"/>
    </row>
    <row r="438" spans="2:9" x14ac:dyDescent="0.25">
      <c r="B438" s="10"/>
    </row>
    <row r="439" spans="2:9" x14ac:dyDescent="0.25">
      <c r="B439" s="5"/>
    </row>
    <row r="440" spans="2:9" x14ac:dyDescent="0.25">
      <c r="B440" s="5"/>
    </row>
    <row r="441" spans="2:9" x14ac:dyDescent="0.25">
      <c r="B441" s="5"/>
    </row>
    <row r="442" spans="2:9" x14ac:dyDescent="0.25">
      <c r="B442" s="10"/>
      <c r="C442" s="4"/>
      <c r="D442" s="4"/>
      <c r="E442" s="12"/>
      <c r="F442" s="4"/>
      <c r="G442" s="4"/>
      <c r="H442" s="12"/>
      <c r="I442" s="12"/>
    </row>
    <row r="443" spans="2:9" x14ac:dyDescent="0.25">
      <c r="B443" s="10"/>
    </row>
    <row r="444" spans="2:9" x14ac:dyDescent="0.25">
      <c r="B444" s="10"/>
    </row>
    <row r="445" spans="2:9" x14ac:dyDescent="0.25">
      <c r="B445" s="10"/>
    </row>
    <row r="446" spans="2:9" x14ac:dyDescent="0.25">
      <c r="B446" s="10"/>
    </row>
    <row r="447" spans="2:9" x14ac:dyDescent="0.25">
      <c r="B447" s="10"/>
    </row>
    <row r="448" spans="2:9" x14ac:dyDescent="0.25">
      <c r="B448" s="10"/>
    </row>
    <row r="449" spans="2:2" x14ac:dyDescent="0.25">
      <c r="B449" s="10"/>
    </row>
  </sheetData>
  <autoFilter ref="B1:I38" xr:uid="{A272E32C-17C4-4CDE-96E7-27A4F1CB815C}">
    <sortState xmlns:xlrd2="http://schemas.microsoft.com/office/spreadsheetml/2017/richdata2" ref="B2:I40">
      <sortCondition descending="1" ref="H1"/>
    </sortState>
  </autoFilter>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E27"/>
  <sheetViews>
    <sheetView workbookViewId="0">
      <selection activeCell="I14" sqref="I14"/>
    </sheetView>
  </sheetViews>
  <sheetFormatPr defaultRowHeight="15" x14ac:dyDescent="0.25"/>
  <cols>
    <col min="1" max="1" width="3" bestFit="1" customWidth="1"/>
    <col min="2" max="2" width="10.42578125" bestFit="1" customWidth="1"/>
    <col min="3" max="3" width="8.140625" style="19" bestFit="1" customWidth="1"/>
    <col min="4" max="4" width="9.7109375" style="13" bestFit="1" customWidth="1"/>
    <col min="5" max="5" width="8.85546875" style="14" bestFit="1" customWidth="1"/>
  </cols>
  <sheetData>
    <row r="1" spans="1:5" ht="15.75" thickBot="1" x14ac:dyDescent="0.3">
      <c r="A1" s="16" t="s">
        <v>3</v>
      </c>
      <c r="B1" s="20" t="s">
        <v>388</v>
      </c>
      <c r="C1" s="21" t="s">
        <v>1</v>
      </c>
      <c r="D1" s="20" t="s">
        <v>155</v>
      </c>
      <c r="E1" s="20" t="s">
        <v>156</v>
      </c>
    </row>
    <row r="2" spans="1:5" x14ac:dyDescent="0.25">
      <c r="A2">
        <v>1</v>
      </c>
      <c r="B2" s="13" t="s">
        <v>702</v>
      </c>
      <c r="C2" s="19">
        <v>48.149999999999991</v>
      </c>
      <c r="D2" s="13">
        <v>5</v>
      </c>
      <c r="E2" s="18">
        <v>9.3299999999999983</v>
      </c>
    </row>
    <row r="3" spans="1:5" x14ac:dyDescent="0.25">
      <c r="A3">
        <f>A2+1</f>
        <v>2</v>
      </c>
      <c r="B3" s="13" t="s">
        <v>241</v>
      </c>
      <c r="C3" s="19">
        <v>121.65</v>
      </c>
      <c r="D3" s="13">
        <v>13</v>
      </c>
      <c r="E3" s="18">
        <v>9.319230769230769</v>
      </c>
    </row>
    <row r="4" spans="1:5" x14ac:dyDescent="0.25">
      <c r="A4">
        <f t="shared" ref="A4:A27" si="0">A3+1</f>
        <v>3</v>
      </c>
      <c r="B4" s="13" t="s">
        <v>223</v>
      </c>
      <c r="C4" s="19">
        <v>280.97000000000003</v>
      </c>
      <c r="D4" s="13">
        <v>31</v>
      </c>
      <c r="E4" s="18">
        <v>9.120000000000001</v>
      </c>
    </row>
    <row r="5" spans="1:5" x14ac:dyDescent="0.25">
      <c r="A5">
        <f t="shared" si="0"/>
        <v>4</v>
      </c>
      <c r="B5" s="13" t="s">
        <v>230</v>
      </c>
      <c r="C5" s="19">
        <v>304.99000000000007</v>
      </c>
      <c r="D5" s="13">
        <v>34</v>
      </c>
      <c r="E5" s="18">
        <v>9.0217647058823545</v>
      </c>
    </row>
    <row r="6" spans="1:5" x14ac:dyDescent="0.25">
      <c r="A6">
        <f t="shared" si="0"/>
        <v>5</v>
      </c>
      <c r="B6" s="13" t="s">
        <v>237</v>
      </c>
      <c r="C6" s="19">
        <v>205.17000000000004</v>
      </c>
      <c r="D6" s="13">
        <v>23</v>
      </c>
      <c r="E6" s="18">
        <v>8.9313043478260887</v>
      </c>
    </row>
    <row r="7" spans="1:5" x14ac:dyDescent="0.25">
      <c r="A7">
        <f t="shared" si="0"/>
        <v>6</v>
      </c>
      <c r="B7" s="13" t="s">
        <v>727</v>
      </c>
      <c r="C7" s="19">
        <v>89.81</v>
      </c>
      <c r="D7" s="13">
        <v>10</v>
      </c>
      <c r="E7" s="14">
        <v>8.9310000000000009</v>
      </c>
    </row>
    <row r="8" spans="1:5" x14ac:dyDescent="0.25">
      <c r="A8">
        <f t="shared" si="0"/>
        <v>7</v>
      </c>
      <c r="B8" s="13" t="s">
        <v>232</v>
      </c>
      <c r="C8" s="19">
        <v>318.91999999999996</v>
      </c>
      <c r="D8" s="13">
        <v>36</v>
      </c>
      <c r="E8" s="18">
        <v>8.9074999999999989</v>
      </c>
    </row>
    <row r="9" spans="1:5" x14ac:dyDescent="0.25">
      <c r="A9">
        <f t="shared" si="0"/>
        <v>8</v>
      </c>
      <c r="B9" s="13" t="s">
        <v>224</v>
      </c>
      <c r="C9" s="19">
        <v>715.6799999999995</v>
      </c>
      <c r="D9" s="13">
        <v>81</v>
      </c>
      <c r="E9" s="18">
        <v>8.8571604938271538</v>
      </c>
    </row>
    <row r="10" spans="1:5" x14ac:dyDescent="0.25">
      <c r="A10">
        <f t="shared" si="0"/>
        <v>9</v>
      </c>
      <c r="B10" s="13" t="s">
        <v>726</v>
      </c>
      <c r="C10" s="19">
        <v>10.31</v>
      </c>
      <c r="D10" s="13">
        <v>1</v>
      </c>
      <c r="E10" s="14">
        <v>8.81</v>
      </c>
    </row>
    <row r="11" spans="1:5" x14ac:dyDescent="0.25">
      <c r="A11">
        <f t="shared" si="0"/>
        <v>10</v>
      </c>
      <c r="B11" s="13" t="s">
        <v>636</v>
      </c>
      <c r="C11" s="19">
        <v>27.690000000000005</v>
      </c>
      <c r="D11" s="13">
        <v>3</v>
      </c>
      <c r="E11" s="18">
        <v>8.7300000000000022</v>
      </c>
    </row>
    <row r="12" spans="1:5" x14ac:dyDescent="0.25">
      <c r="A12">
        <f t="shared" si="0"/>
        <v>11</v>
      </c>
      <c r="B12" s="13" t="s">
        <v>235</v>
      </c>
      <c r="C12" s="19">
        <v>121.55</v>
      </c>
      <c r="D12" s="13">
        <v>14</v>
      </c>
      <c r="E12" s="18">
        <v>8.6464285714285705</v>
      </c>
    </row>
    <row r="13" spans="1:5" x14ac:dyDescent="0.25">
      <c r="A13">
        <f t="shared" si="0"/>
        <v>12</v>
      </c>
      <c r="B13" s="13" t="s">
        <v>225</v>
      </c>
      <c r="C13" s="19">
        <v>236.67000000000002</v>
      </c>
      <c r="D13" s="13">
        <v>28</v>
      </c>
      <c r="E13" s="18">
        <v>8.4614285714285717</v>
      </c>
    </row>
    <row r="14" spans="1:5" x14ac:dyDescent="0.25">
      <c r="A14">
        <f t="shared" si="0"/>
        <v>13</v>
      </c>
      <c r="B14" s="13" t="s">
        <v>728</v>
      </c>
      <c r="C14" s="19">
        <v>35.24</v>
      </c>
      <c r="D14" s="13">
        <v>4</v>
      </c>
      <c r="E14" s="14">
        <v>8.4350000000000005</v>
      </c>
    </row>
    <row r="15" spans="1:5" x14ac:dyDescent="0.25">
      <c r="A15">
        <f t="shared" si="0"/>
        <v>14</v>
      </c>
      <c r="B15" s="13" t="s">
        <v>717</v>
      </c>
      <c r="C15" s="19">
        <v>18.32</v>
      </c>
      <c r="D15" s="13">
        <v>2</v>
      </c>
      <c r="E15" s="14">
        <v>8.41</v>
      </c>
    </row>
    <row r="16" spans="1:5" x14ac:dyDescent="0.25">
      <c r="A16">
        <f t="shared" si="0"/>
        <v>15</v>
      </c>
      <c r="B16" s="13" t="s">
        <v>238</v>
      </c>
      <c r="C16" s="19">
        <v>34.830000000000005</v>
      </c>
      <c r="D16" s="13">
        <v>4</v>
      </c>
      <c r="E16" s="14">
        <v>8.3325000000000014</v>
      </c>
    </row>
    <row r="17" spans="1:5" x14ac:dyDescent="0.25">
      <c r="A17">
        <f t="shared" si="0"/>
        <v>16</v>
      </c>
      <c r="B17" s="13" t="s">
        <v>234</v>
      </c>
      <c r="C17" s="19">
        <v>364.02999999999986</v>
      </c>
      <c r="D17" s="13">
        <v>44</v>
      </c>
      <c r="E17" s="14">
        <v>8.3131818181818158</v>
      </c>
    </row>
    <row r="18" spans="1:5" x14ac:dyDescent="0.25">
      <c r="A18">
        <f t="shared" si="0"/>
        <v>17</v>
      </c>
      <c r="B18" s="13" t="s">
        <v>725</v>
      </c>
      <c r="C18" s="19">
        <v>9.77</v>
      </c>
      <c r="D18" s="13">
        <v>1</v>
      </c>
      <c r="E18" s="14">
        <v>8.27</v>
      </c>
    </row>
    <row r="19" spans="1:5" x14ac:dyDescent="0.25">
      <c r="A19">
        <f t="shared" si="0"/>
        <v>18</v>
      </c>
      <c r="B19" s="13" t="s">
        <v>264</v>
      </c>
      <c r="C19" s="19">
        <v>9.66</v>
      </c>
      <c r="D19" s="13">
        <v>1</v>
      </c>
      <c r="E19" s="18">
        <v>8.16</v>
      </c>
    </row>
    <row r="20" spans="1:5" x14ac:dyDescent="0.25">
      <c r="A20">
        <f t="shared" si="0"/>
        <v>19</v>
      </c>
      <c r="B20" s="13" t="s">
        <v>240</v>
      </c>
      <c r="C20" s="19">
        <v>42.219999999999992</v>
      </c>
      <c r="D20" s="13">
        <v>5</v>
      </c>
      <c r="E20" s="14">
        <v>8.1439999999999984</v>
      </c>
    </row>
    <row r="21" spans="1:5" x14ac:dyDescent="0.25">
      <c r="A21">
        <f t="shared" si="0"/>
        <v>20</v>
      </c>
      <c r="B21" s="13" t="s">
        <v>231</v>
      </c>
      <c r="C21" s="19">
        <v>57.809999999999995</v>
      </c>
      <c r="D21" s="13">
        <v>7</v>
      </c>
      <c r="E21" s="18">
        <v>8.0442857142857136</v>
      </c>
    </row>
    <row r="22" spans="1:5" x14ac:dyDescent="0.25">
      <c r="A22">
        <f t="shared" si="0"/>
        <v>21</v>
      </c>
      <c r="B22" s="13" t="s">
        <v>236</v>
      </c>
      <c r="C22" s="19">
        <v>80.609999999999985</v>
      </c>
      <c r="D22" s="13">
        <v>10</v>
      </c>
      <c r="E22" s="18">
        <v>8.0109999999999992</v>
      </c>
    </row>
    <row r="23" spans="1:5" x14ac:dyDescent="0.25">
      <c r="A23">
        <f t="shared" si="0"/>
        <v>22</v>
      </c>
      <c r="B23" s="13" t="s">
        <v>432</v>
      </c>
      <c r="C23" s="19">
        <v>24.96</v>
      </c>
      <c r="D23" s="13">
        <v>3</v>
      </c>
      <c r="E23" s="18">
        <v>7.82</v>
      </c>
    </row>
    <row r="24" spans="1:5" x14ac:dyDescent="0.25">
      <c r="A24">
        <f t="shared" si="0"/>
        <v>23</v>
      </c>
      <c r="B24" s="13" t="s">
        <v>242</v>
      </c>
      <c r="C24" s="19">
        <v>9.1999999999999993</v>
      </c>
      <c r="D24" s="13">
        <v>1</v>
      </c>
      <c r="E24" s="14">
        <v>7.6999999999999993</v>
      </c>
    </row>
    <row r="25" spans="1:5" x14ac:dyDescent="0.25">
      <c r="A25">
        <f t="shared" si="0"/>
        <v>24</v>
      </c>
      <c r="B25" s="13" t="s">
        <v>239</v>
      </c>
      <c r="C25" s="19">
        <v>9.1100000000000012</v>
      </c>
      <c r="D25" s="13">
        <v>1</v>
      </c>
      <c r="E25" s="14">
        <v>7.6100000000000012</v>
      </c>
    </row>
    <row r="26" spans="1:5" x14ac:dyDescent="0.25">
      <c r="A26">
        <f t="shared" si="0"/>
        <v>25</v>
      </c>
      <c r="B26" s="13" t="s">
        <v>729</v>
      </c>
      <c r="C26" s="19">
        <v>14.53</v>
      </c>
      <c r="D26" s="13">
        <v>2</v>
      </c>
      <c r="E26" s="14">
        <v>6.5149999999999997</v>
      </c>
    </row>
    <row r="27" spans="1:5" x14ac:dyDescent="0.25">
      <c r="A27">
        <f t="shared" si="0"/>
        <v>26</v>
      </c>
      <c r="B27" s="13" t="s">
        <v>637</v>
      </c>
      <c r="C27" s="19">
        <v>7.57</v>
      </c>
      <c r="D27" s="13">
        <v>1</v>
      </c>
      <c r="E27" s="18">
        <v>6.07</v>
      </c>
    </row>
  </sheetData>
  <autoFilter ref="B1:E38" xr:uid="{998C7646-E7DA-4F1B-B121-C2336332936F}">
    <sortState xmlns:xlrd2="http://schemas.microsoft.com/office/spreadsheetml/2017/richdata2" ref="B2:E38">
      <sortCondition descending="1" ref="E1"/>
    </sortState>
  </autoFilter>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E18"/>
  <sheetViews>
    <sheetView workbookViewId="0">
      <selection activeCell="E12" sqref="E12"/>
    </sheetView>
  </sheetViews>
  <sheetFormatPr defaultRowHeight="15" x14ac:dyDescent="0.25"/>
  <cols>
    <col min="1" max="1" width="3" bestFit="1" customWidth="1"/>
    <col min="2" max="2" width="17.42578125" bestFit="1" customWidth="1"/>
    <col min="3" max="3" width="8.140625" style="19" bestFit="1" customWidth="1"/>
    <col min="4" max="4" width="9.7109375" style="13" bestFit="1" customWidth="1"/>
    <col min="5" max="5" width="8.85546875" style="14" bestFit="1" customWidth="1"/>
  </cols>
  <sheetData>
    <row r="1" spans="1:5" ht="15.75" thickBot="1" x14ac:dyDescent="0.3">
      <c r="A1" s="16" t="s">
        <v>3</v>
      </c>
      <c r="B1" s="20" t="s">
        <v>519</v>
      </c>
      <c r="C1" s="21" t="s">
        <v>1</v>
      </c>
      <c r="D1" s="20" t="s">
        <v>155</v>
      </c>
      <c r="E1" s="20" t="s">
        <v>156</v>
      </c>
    </row>
    <row r="2" spans="1:5" x14ac:dyDescent="0.25">
      <c r="A2">
        <v>1</v>
      </c>
      <c r="B2" t="s">
        <v>43</v>
      </c>
      <c r="C2" s="19">
        <v>35.32</v>
      </c>
      <c r="D2" s="13">
        <v>4</v>
      </c>
      <c r="E2" s="18">
        <v>8.58</v>
      </c>
    </row>
    <row r="3" spans="1:5" x14ac:dyDescent="0.25">
      <c r="A3">
        <f>A2+1</f>
        <v>2</v>
      </c>
      <c r="B3" s="10" t="s">
        <v>41</v>
      </c>
      <c r="C3" s="19">
        <v>50.22</v>
      </c>
      <c r="D3" s="13">
        <v>6</v>
      </c>
      <c r="E3" s="18">
        <v>8.4533333333333331</v>
      </c>
    </row>
    <row r="4" spans="1:5" x14ac:dyDescent="0.25">
      <c r="A4">
        <f t="shared" ref="A4:A12" si="0">A3+1</f>
        <v>3</v>
      </c>
      <c r="B4" s="10" t="s">
        <v>44</v>
      </c>
      <c r="C4" s="19">
        <v>17.909999999999997</v>
      </c>
      <c r="D4" s="13">
        <v>2</v>
      </c>
      <c r="E4" s="18">
        <v>8.2049999999999983</v>
      </c>
    </row>
    <row r="5" spans="1:5" x14ac:dyDescent="0.25">
      <c r="A5">
        <f t="shared" si="0"/>
        <v>4</v>
      </c>
      <c r="B5" s="5" t="s">
        <v>39</v>
      </c>
      <c r="C5" s="19">
        <v>71.41</v>
      </c>
      <c r="D5" s="13">
        <v>9</v>
      </c>
      <c r="E5" s="18">
        <v>8.1844444444444449</v>
      </c>
    </row>
    <row r="6" spans="1:5" x14ac:dyDescent="0.25">
      <c r="A6">
        <f t="shared" si="0"/>
        <v>5</v>
      </c>
      <c r="B6" s="10" t="s">
        <v>68</v>
      </c>
      <c r="C6" s="19">
        <v>48.49</v>
      </c>
      <c r="D6" s="13">
        <v>6</v>
      </c>
      <c r="E6" s="18">
        <v>8.1650000000000009</v>
      </c>
    </row>
    <row r="7" spans="1:5" x14ac:dyDescent="0.25">
      <c r="A7">
        <f t="shared" si="0"/>
        <v>6</v>
      </c>
      <c r="B7" s="5" t="s">
        <v>71</v>
      </c>
      <c r="C7" s="19">
        <v>17.759999999999998</v>
      </c>
      <c r="D7" s="13">
        <v>2</v>
      </c>
      <c r="E7" s="18">
        <v>8.129999999999999</v>
      </c>
    </row>
    <row r="8" spans="1:5" x14ac:dyDescent="0.25">
      <c r="A8">
        <f t="shared" si="0"/>
        <v>7</v>
      </c>
      <c r="B8" s="10" t="s">
        <v>167</v>
      </c>
      <c r="C8" s="19">
        <v>38.729999999999997</v>
      </c>
      <c r="D8" s="13">
        <v>5</v>
      </c>
      <c r="E8" s="18">
        <v>7.8459999999999992</v>
      </c>
    </row>
    <row r="9" spans="1:5" x14ac:dyDescent="0.25">
      <c r="A9">
        <f t="shared" si="0"/>
        <v>8</v>
      </c>
      <c r="B9" s="5" t="s">
        <v>49</v>
      </c>
      <c r="C9" s="19">
        <v>25.01</v>
      </c>
      <c r="D9" s="13">
        <v>3</v>
      </c>
      <c r="E9" s="14">
        <v>7.8366666666666669</v>
      </c>
    </row>
    <row r="10" spans="1:5" x14ac:dyDescent="0.25">
      <c r="A10">
        <f t="shared" si="0"/>
        <v>9</v>
      </c>
      <c r="B10" s="10" t="s">
        <v>370</v>
      </c>
      <c r="C10" s="19">
        <v>32</v>
      </c>
      <c r="D10" s="13">
        <v>4</v>
      </c>
      <c r="E10" s="18">
        <v>7.75</v>
      </c>
    </row>
    <row r="11" spans="1:5" x14ac:dyDescent="0.25">
      <c r="A11">
        <f t="shared" si="0"/>
        <v>10</v>
      </c>
      <c r="B11" s="5" t="s">
        <v>47</v>
      </c>
      <c r="C11" s="19">
        <v>16.78</v>
      </c>
      <c r="D11" s="13">
        <v>2</v>
      </c>
      <c r="E11" s="18">
        <v>7.6400000000000006</v>
      </c>
    </row>
    <row r="12" spans="1:5" x14ac:dyDescent="0.25">
      <c r="A12">
        <f t="shared" si="0"/>
        <v>11</v>
      </c>
      <c r="B12" s="10" t="s">
        <v>52</v>
      </c>
      <c r="C12" s="19">
        <v>26.49</v>
      </c>
      <c r="D12" s="13">
        <v>4</v>
      </c>
      <c r="E12" s="18">
        <v>6.3724999999999996</v>
      </c>
    </row>
    <row r="13" spans="1:5" x14ac:dyDescent="0.25">
      <c r="E13" s="18"/>
    </row>
    <row r="14" spans="1:5" x14ac:dyDescent="0.25">
      <c r="E14" s="18"/>
    </row>
    <row r="15" spans="1:5" x14ac:dyDescent="0.25">
      <c r="E15" s="18"/>
    </row>
    <row r="16" spans="1:5" x14ac:dyDescent="0.25">
      <c r="E16" s="18"/>
    </row>
    <row r="18" spans="5:5" x14ac:dyDescent="0.25">
      <c r="E18" s="18"/>
    </row>
  </sheetData>
  <autoFilter ref="B1:E1" xr:uid="{DC633FCA-CFD1-4A89-BF2E-AECAA389B980}">
    <sortState xmlns:xlrd2="http://schemas.microsoft.com/office/spreadsheetml/2017/richdata2" ref="B2:E12">
      <sortCondition descending="1" ref="E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11" sqref="C11"/>
    </sheetView>
  </sheetViews>
  <sheetFormatPr defaultRowHeight="15" x14ac:dyDescent="0.25"/>
  <cols>
    <col min="1" max="1" width="5.28515625" style="4" bestFit="1" customWidth="1"/>
    <col min="2" max="2" width="16.14062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4.42578125" style="10" bestFit="1" customWidth="1"/>
    <col min="8" max="8" width="17" style="10" bestFit="1" customWidth="1"/>
    <col min="9" max="9" width="16.5703125" style="10" bestFit="1" customWidth="1"/>
    <col min="10" max="10" width="14.5703125" style="10" bestFit="1" customWidth="1"/>
    <col min="11" max="11" width="17.7109375" style="10" bestFit="1" customWidth="1"/>
    <col min="12" max="12" width="17.28515625" style="10" bestFit="1" customWidth="1"/>
    <col min="13" max="13" width="17.42578125" style="10" bestFit="1" customWidth="1"/>
    <col min="14" max="14" width="14.7109375" style="10" bestFit="1" customWidth="1"/>
    <col min="15" max="15" width="13.28515625" style="10" bestFit="1" customWidth="1"/>
    <col min="16" max="16" width="14.42578125" bestFit="1" customWidth="1"/>
    <col min="17" max="17" width="7" bestFit="1" customWidth="1"/>
    <col min="18" max="18" width="8.2851562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2" t="s">
        <v>0</v>
      </c>
      <c r="B1" s="22" t="s">
        <v>581</v>
      </c>
      <c r="C1" s="22" t="s">
        <v>1</v>
      </c>
      <c r="D1" s="22" t="s">
        <v>691</v>
      </c>
      <c r="E1" s="22" t="s">
        <v>598</v>
      </c>
      <c r="F1" s="22" t="s">
        <v>585</v>
      </c>
      <c r="G1" s="22" t="s">
        <v>6</v>
      </c>
      <c r="H1" s="22" t="s">
        <v>7</v>
      </c>
      <c r="I1" s="15" t="s">
        <v>18</v>
      </c>
      <c r="J1" s="15" t="s">
        <v>20</v>
      </c>
      <c r="K1" s="15" t="s">
        <v>582</v>
      </c>
      <c r="L1" s="15" t="s">
        <v>583</v>
      </c>
      <c r="M1" s="15" t="s">
        <v>591</v>
      </c>
      <c r="N1" s="15" t="s">
        <v>594</v>
      </c>
      <c r="O1" s="15" t="s">
        <v>37</v>
      </c>
      <c r="S1" s="22" t="s">
        <v>400</v>
      </c>
      <c r="T1" s="22" t="s">
        <v>417</v>
      </c>
      <c r="U1" s="15" t="s">
        <v>419</v>
      </c>
      <c r="V1" s="15" t="s">
        <v>418</v>
      </c>
    </row>
    <row r="2" spans="1:22" x14ac:dyDescent="0.25">
      <c r="A2" s="4">
        <v>1</v>
      </c>
      <c r="B2" s="4" t="s">
        <v>615</v>
      </c>
      <c r="C2" s="4">
        <v>9.8000000000000007</v>
      </c>
      <c r="D2" s="4" t="s">
        <v>692</v>
      </c>
      <c r="E2" s="4" t="s">
        <v>616</v>
      </c>
      <c r="F2" s="4">
        <v>5</v>
      </c>
      <c r="G2" s="5" t="s">
        <v>617</v>
      </c>
      <c r="H2" s="5" t="s">
        <v>618</v>
      </c>
      <c r="I2" s="5" t="s">
        <v>619</v>
      </c>
      <c r="J2" s="10" t="s">
        <v>620</v>
      </c>
      <c r="K2" s="5" t="s">
        <v>622</v>
      </c>
      <c r="L2" s="10" t="s">
        <v>621</v>
      </c>
      <c r="M2" s="10" t="s">
        <v>623</v>
      </c>
      <c r="N2" s="10" t="s">
        <v>624</v>
      </c>
      <c r="O2" s="5" t="s">
        <v>675</v>
      </c>
      <c r="P2" s="5" t="s">
        <v>230</v>
      </c>
      <c r="Q2" s="5" t="s">
        <v>224</v>
      </c>
      <c r="R2" s="5" t="s">
        <v>232</v>
      </c>
      <c r="S2" s="4">
        <v>9.5</v>
      </c>
      <c r="T2" s="4">
        <v>96</v>
      </c>
      <c r="U2" s="23">
        <f t="shared" ref="U2:U8" si="0">(S2+(T2/10))/2</f>
        <v>9.5500000000000007</v>
      </c>
      <c r="V2" s="23">
        <f t="shared" ref="V2:V8" si="1">(S2+C2+(T2/10))/3</f>
        <v>9.6333333333333329</v>
      </c>
    </row>
    <row r="3" spans="1:22" x14ac:dyDescent="0.25">
      <c r="A3" s="4">
        <f t="shared" ref="A3:A8" si="2">A2+1</f>
        <v>2</v>
      </c>
      <c r="B3" s="4" t="s">
        <v>580</v>
      </c>
      <c r="C3" s="4">
        <v>9.6</v>
      </c>
      <c r="D3" s="4" t="s">
        <v>692</v>
      </c>
      <c r="E3" s="4" t="s">
        <v>584</v>
      </c>
      <c r="F3" s="4">
        <v>9</v>
      </c>
      <c r="G3" s="5" t="s">
        <v>586</v>
      </c>
      <c r="H3" s="10" t="s">
        <v>112</v>
      </c>
      <c r="I3" s="10" t="s">
        <v>588</v>
      </c>
      <c r="J3" s="10" t="s">
        <v>587</v>
      </c>
      <c r="K3" s="10" t="s">
        <v>589</v>
      </c>
      <c r="L3" s="10" t="s">
        <v>590</v>
      </c>
      <c r="M3" s="10" t="s">
        <v>592</v>
      </c>
      <c r="N3" s="10" t="s">
        <v>593</v>
      </c>
      <c r="O3" s="10" t="s">
        <v>595</v>
      </c>
      <c r="P3" s="10" t="s">
        <v>596</v>
      </c>
      <c r="Q3" s="10" t="s">
        <v>597</v>
      </c>
      <c r="R3" s="10" t="s">
        <v>234</v>
      </c>
      <c r="S3" s="4">
        <v>9</v>
      </c>
      <c r="T3" s="4">
        <v>81</v>
      </c>
      <c r="U3" s="23">
        <f t="shared" si="0"/>
        <v>8.5500000000000007</v>
      </c>
      <c r="V3" s="23">
        <f t="shared" si="1"/>
        <v>8.9</v>
      </c>
    </row>
    <row r="4" spans="1:22" x14ac:dyDescent="0.25">
      <c r="A4" s="4">
        <f t="shared" si="2"/>
        <v>3</v>
      </c>
      <c r="B4" s="4" t="s">
        <v>690</v>
      </c>
      <c r="C4" s="4">
        <v>9.6</v>
      </c>
      <c r="D4" s="4" t="s">
        <v>693</v>
      </c>
      <c r="E4" s="4">
        <v>2019</v>
      </c>
      <c r="F4" s="4">
        <v>1</v>
      </c>
      <c r="G4" s="5" t="s">
        <v>695</v>
      </c>
      <c r="H4" s="5" t="s">
        <v>268</v>
      </c>
      <c r="I4" s="5" t="s">
        <v>696</v>
      </c>
      <c r="J4" s="5" t="s">
        <v>697</v>
      </c>
      <c r="K4" s="5" t="s">
        <v>698</v>
      </c>
      <c r="L4" s="5" t="s">
        <v>699</v>
      </c>
      <c r="M4" s="5" t="s">
        <v>700</v>
      </c>
      <c r="N4" s="5" t="s">
        <v>701</v>
      </c>
      <c r="O4" s="5" t="s">
        <v>694</v>
      </c>
      <c r="P4" s="5" t="s">
        <v>224</v>
      </c>
      <c r="Q4" s="5" t="s">
        <v>242</v>
      </c>
      <c r="R4" s="10" t="s">
        <v>232</v>
      </c>
      <c r="S4" s="4">
        <v>9.3000000000000007</v>
      </c>
      <c r="T4" s="4">
        <v>95</v>
      </c>
      <c r="U4" s="23">
        <f t="shared" si="0"/>
        <v>9.4</v>
      </c>
      <c r="V4" s="23">
        <f t="shared" si="1"/>
        <v>9.4666666666666668</v>
      </c>
    </row>
    <row r="5" spans="1:22" x14ac:dyDescent="0.25">
      <c r="A5" s="4">
        <f t="shared" si="2"/>
        <v>4</v>
      </c>
      <c r="B5" s="4" t="s">
        <v>638</v>
      </c>
      <c r="C5" s="4">
        <v>9.1999999999999993</v>
      </c>
      <c r="D5" s="4" t="s">
        <v>693</v>
      </c>
      <c r="E5" s="4">
        <v>2001</v>
      </c>
      <c r="F5" s="4">
        <v>1</v>
      </c>
      <c r="G5" s="5" t="s">
        <v>639</v>
      </c>
      <c r="H5" s="5" t="s">
        <v>640</v>
      </c>
      <c r="I5" s="10" t="s">
        <v>228</v>
      </c>
      <c r="J5" s="5" t="s">
        <v>641</v>
      </c>
      <c r="K5" s="5" t="s">
        <v>642</v>
      </c>
      <c r="L5" s="5" t="s">
        <v>643</v>
      </c>
      <c r="M5" s="5" t="s">
        <v>644</v>
      </c>
      <c r="N5" s="10" t="s">
        <v>645</v>
      </c>
      <c r="O5" s="5" t="s">
        <v>595</v>
      </c>
      <c r="P5" s="5" t="s">
        <v>241</v>
      </c>
      <c r="Q5" s="5" t="s">
        <v>224</v>
      </c>
      <c r="R5" s="5" t="s">
        <v>242</v>
      </c>
      <c r="S5" s="4">
        <v>9.4</v>
      </c>
      <c r="T5" s="4">
        <v>94</v>
      </c>
      <c r="U5" s="23">
        <f t="shared" si="0"/>
        <v>9.4</v>
      </c>
      <c r="V5" s="23">
        <f t="shared" si="1"/>
        <v>9.3333333333333339</v>
      </c>
    </row>
    <row r="6" spans="1:22" x14ac:dyDescent="0.25">
      <c r="A6" s="4">
        <f t="shared" si="2"/>
        <v>5</v>
      </c>
      <c r="B6" s="4" t="s">
        <v>673</v>
      </c>
      <c r="C6" s="4">
        <v>8.8000000000000007</v>
      </c>
      <c r="D6" s="4" t="s">
        <v>692</v>
      </c>
      <c r="E6" s="4" t="s">
        <v>674</v>
      </c>
      <c r="F6" s="4">
        <v>6</v>
      </c>
      <c r="G6" s="5" t="s">
        <v>622</v>
      </c>
      <c r="H6" s="5" t="s">
        <v>624</v>
      </c>
      <c r="I6" s="5" t="s">
        <v>676</v>
      </c>
      <c r="J6" s="5" t="s">
        <v>677</v>
      </c>
      <c r="K6" s="5" t="s">
        <v>678</v>
      </c>
      <c r="L6" s="5" t="s">
        <v>623</v>
      </c>
      <c r="M6" s="5" t="s">
        <v>679</v>
      </c>
      <c r="N6" s="5" t="s">
        <v>680</v>
      </c>
      <c r="O6" s="5" t="s">
        <v>675</v>
      </c>
      <c r="P6" s="5" t="s">
        <v>230</v>
      </c>
      <c r="Q6" s="5" t="s">
        <v>224</v>
      </c>
      <c r="R6" s="5"/>
      <c r="S6" s="4">
        <v>9</v>
      </c>
      <c r="T6" s="4">
        <v>98</v>
      </c>
      <c r="U6" s="23">
        <f t="shared" si="0"/>
        <v>9.4</v>
      </c>
      <c r="V6" s="23">
        <f t="shared" si="1"/>
        <v>9.2000000000000011</v>
      </c>
    </row>
    <row r="7" spans="1:22" x14ac:dyDescent="0.25">
      <c r="A7" s="4">
        <f t="shared" si="2"/>
        <v>6</v>
      </c>
      <c r="B7" s="4" t="s">
        <v>681</v>
      </c>
      <c r="C7" s="4">
        <v>8.6</v>
      </c>
      <c r="D7" s="4" t="s">
        <v>692</v>
      </c>
      <c r="E7" s="4" t="s">
        <v>682</v>
      </c>
      <c r="F7" s="4">
        <v>4</v>
      </c>
      <c r="G7" s="5" t="s">
        <v>191</v>
      </c>
      <c r="H7" s="5" t="s">
        <v>307</v>
      </c>
      <c r="I7" s="5" t="s">
        <v>683</v>
      </c>
      <c r="J7" s="5" t="s">
        <v>684</v>
      </c>
      <c r="K7" s="5" t="s">
        <v>685</v>
      </c>
      <c r="L7" s="5" t="s">
        <v>686</v>
      </c>
      <c r="M7" s="5" t="s">
        <v>687</v>
      </c>
      <c r="N7" s="5" t="s">
        <v>688</v>
      </c>
      <c r="O7" s="5" t="s">
        <v>689</v>
      </c>
      <c r="P7" s="5" t="s">
        <v>230</v>
      </c>
      <c r="Q7" s="5" t="s">
        <v>224</v>
      </c>
      <c r="R7" s="5" t="s">
        <v>232</v>
      </c>
      <c r="S7" s="4">
        <v>8.5</v>
      </c>
      <c r="T7" s="4">
        <v>82</v>
      </c>
      <c r="U7" s="23">
        <f t="shared" si="0"/>
        <v>8.35</v>
      </c>
      <c r="V7" s="23">
        <f t="shared" si="1"/>
        <v>8.4333333333333336</v>
      </c>
    </row>
    <row r="8" spans="1:22" x14ac:dyDescent="0.25">
      <c r="A8" s="4">
        <f t="shared" si="2"/>
        <v>7</v>
      </c>
      <c r="B8" s="4" t="s">
        <v>663</v>
      </c>
      <c r="C8" s="4">
        <v>8.1999999999999993</v>
      </c>
      <c r="D8" s="4" t="s">
        <v>692</v>
      </c>
      <c r="E8" s="4" t="s">
        <v>664</v>
      </c>
      <c r="F8" s="4">
        <v>2</v>
      </c>
      <c r="G8" s="10" t="s">
        <v>617</v>
      </c>
      <c r="H8" s="10" t="s">
        <v>665</v>
      </c>
      <c r="I8" s="10" t="s">
        <v>666</v>
      </c>
      <c r="J8" s="10" t="s">
        <v>667</v>
      </c>
      <c r="K8" s="10" t="s">
        <v>668</v>
      </c>
      <c r="L8" s="10" t="s">
        <v>669</v>
      </c>
      <c r="M8" s="10" t="s">
        <v>670</v>
      </c>
      <c r="N8" s="10" t="s">
        <v>671</v>
      </c>
      <c r="O8" s="10" t="s">
        <v>672</v>
      </c>
      <c r="P8" t="s">
        <v>230</v>
      </c>
      <c r="Q8" t="s">
        <v>224</v>
      </c>
      <c r="R8" s="10" t="s">
        <v>232</v>
      </c>
      <c r="S8" s="4">
        <v>7.6</v>
      </c>
      <c r="T8" s="4">
        <v>50</v>
      </c>
      <c r="U8" s="23">
        <f t="shared" si="0"/>
        <v>6.3</v>
      </c>
      <c r="V8" s="23">
        <f t="shared" si="1"/>
        <v>6.9333333333333327</v>
      </c>
    </row>
    <row r="9" spans="1:22" x14ac:dyDescent="0.25">
      <c r="G9" s="5"/>
      <c r="H9" s="5"/>
      <c r="I9" s="5"/>
      <c r="J9" s="5"/>
      <c r="K9" s="5"/>
      <c r="L9" s="5"/>
      <c r="M9" s="5"/>
      <c r="N9" s="5"/>
      <c r="O9" s="5"/>
      <c r="P9" s="5"/>
      <c r="Q9" s="5"/>
      <c r="R9" s="5"/>
      <c r="U9" s="23"/>
      <c r="V9" s="23"/>
    </row>
    <row r="10" spans="1:22" x14ac:dyDescent="0.25">
      <c r="P10" s="10"/>
      <c r="Q10" s="10"/>
      <c r="U10" s="23"/>
      <c r="V10" s="23"/>
    </row>
    <row r="11" spans="1:22" x14ac:dyDescent="0.25">
      <c r="G11" s="5"/>
      <c r="H11" s="5"/>
      <c r="I11" s="5"/>
      <c r="J11" s="5"/>
      <c r="K11" s="5"/>
      <c r="L11" s="5"/>
      <c r="M11" s="5"/>
      <c r="N11" s="5"/>
      <c r="O11" s="5"/>
      <c r="P11" s="5"/>
      <c r="Q11" s="5"/>
      <c r="U11" s="23"/>
      <c r="V11" s="23"/>
    </row>
    <row r="12" spans="1:22" x14ac:dyDescent="0.25">
      <c r="P12" s="10"/>
      <c r="Q12" s="10"/>
      <c r="R12" s="10"/>
      <c r="U12" s="23"/>
      <c r="V12" s="23"/>
    </row>
    <row r="13" spans="1:22" x14ac:dyDescent="0.25">
      <c r="G13" s="5"/>
      <c r="H13" s="5"/>
      <c r="I13" s="5"/>
      <c r="J13" s="5"/>
      <c r="K13" s="5"/>
      <c r="L13" s="5"/>
      <c r="M13" s="5"/>
      <c r="N13" s="5"/>
      <c r="O13" s="5"/>
      <c r="P13" s="5"/>
      <c r="Q13" s="5"/>
      <c r="U13" s="23"/>
      <c r="V13" s="23"/>
    </row>
    <row r="14" spans="1:22" x14ac:dyDescent="0.25">
      <c r="G14" s="5"/>
      <c r="P14" s="10"/>
      <c r="Q14" s="10"/>
      <c r="R14" s="10"/>
      <c r="U14" s="23"/>
      <c r="V14" s="23"/>
    </row>
    <row r="15" spans="1:22" x14ac:dyDescent="0.25">
      <c r="I15" s="11"/>
      <c r="J15" s="11"/>
      <c r="K15" s="11"/>
      <c r="L15" s="11"/>
      <c r="M15" s="11"/>
      <c r="N15" s="11"/>
      <c r="O15" s="11"/>
      <c r="P15" s="10"/>
      <c r="Q15" s="10"/>
      <c r="R15" s="11"/>
      <c r="U15" s="23"/>
      <c r="V15" s="23"/>
    </row>
    <row r="16" spans="1:22" x14ac:dyDescent="0.25">
      <c r="G16" s="5"/>
      <c r="H16" s="5"/>
      <c r="I16" s="5"/>
      <c r="J16" s="5"/>
      <c r="K16" s="5"/>
      <c r="L16" s="5"/>
      <c r="M16" s="5"/>
      <c r="N16" s="5"/>
      <c r="O16" s="5"/>
      <c r="P16" s="5"/>
      <c r="Q16" s="5"/>
      <c r="U16" s="23"/>
      <c r="V16" s="23"/>
    </row>
    <row r="17" spans="7:22" x14ac:dyDescent="0.25">
      <c r="G17" s="5"/>
      <c r="P17" s="10"/>
      <c r="Q17" s="10"/>
      <c r="R17" s="10"/>
      <c r="U17" s="23"/>
      <c r="V17" s="23"/>
    </row>
    <row r="18" spans="7:22" x14ac:dyDescent="0.25">
      <c r="G18" s="5"/>
      <c r="H18" s="5"/>
      <c r="I18" s="5"/>
      <c r="J18" s="5"/>
      <c r="K18" s="5"/>
      <c r="L18" s="5"/>
      <c r="M18" s="5"/>
      <c r="N18" s="5"/>
      <c r="O18" s="5"/>
      <c r="P18" s="5"/>
      <c r="Q18" s="5"/>
      <c r="R18" s="5"/>
      <c r="U18" s="23"/>
      <c r="V18" s="23"/>
    </row>
    <row r="19" spans="7:22" x14ac:dyDescent="0.25">
      <c r="P19" s="10"/>
      <c r="Q19" s="10"/>
      <c r="U19" s="23"/>
      <c r="V19" s="23"/>
    </row>
    <row r="20" spans="7:22" x14ac:dyDescent="0.25">
      <c r="P20" s="10"/>
      <c r="Q20" s="10"/>
      <c r="R20" s="10"/>
      <c r="U20" s="23"/>
      <c r="V20" s="23"/>
    </row>
    <row r="21" spans="7:22" x14ac:dyDescent="0.25">
      <c r="P21" s="10"/>
      <c r="Q21" s="10"/>
      <c r="R21" s="10"/>
      <c r="U21" s="23"/>
      <c r="V21" s="23"/>
    </row>
    <row r="22" spans="7:22" x14ac:dyDescent="0.25">
      <c r="G22" s="5"/>
      <c r="P22" s="10"/>
      <c r="Q22" s="10"/>
      <c r="U22" s="23"/>
      <c r="V22" s="23"/>
    </row>
    <row r="23" spans="7:22" x14ac:dyDescent="0.25">
      <c r="G23" s="5"/>
      <c r="P23" s="10"/>
      <c r="Q23" s="10"/>
      <c r="R23" s="10"/>
      <c r="U23" s="23"/>
      <c r="V23" s="23"/>
    </row>
    <row r="24" spans="7:22" x14ac:dyDescent="0.25">
      <c r="G24" s="5"/>
      <c r="O24" s="5"/>
      <c r="P24" s="10"/>
      <c r="Q24" s="10"/>
      <c r="R24" s="10"/>
      <c r="U24" s="23"/>
      <c r="V24" s="23"/>
    </row>
    <row r="25" spans="7:22" x14ac:dyDescent="0.25">
      <c r="G25" s="5"/>
      <c r="H25" s="5"/>
      <c r="I25" s="5"/>
      <c r="J25" s="5"/>
      <c r="K25" s="5"/>
      <c r="L25" s="5"/>
      <c r="M25" s="5"/>
      <c r="N25" s="5"/>
      <c r="O25" s="5"/>
      <c r="P25" s="5"/>
      <c r="Q25" s="5"/>
      <c r="R25" s="5"/>
      <c r="U25" s="23"/>
      <c r="V25" s="23"/>
    </row>
    <row r="26" spans="7:22" x14ac:dyDescent="0.25">
      <c r="G26" s="5"/>
      <c r="P26" s="10"/>
      <c r="Q26" s="10"/>
      <c r="U26" s="23"/>
      <c r="V26" s="23"/>
    </row>
    <row r="27" spans="7:22" x14ac:dyDescent="0.25">
      <c r="G27" s="5"/>
      <c r="P27" s="10"/>
      <c r="Q27" s="10"/>
      <c r="R27" s="10"/>
      <c r="U27" s="23"/>
      <c r="V27" s="23"/>
    </row>
    <row r="28" spans="7:22" x14ac:dyDescent="0.25">
      <c r="G28" s="5"/>
      <c r="H28" s="5"/>
      <c r="I28" s="5"/>
      <c r="J28" s="5"/>
      <c r="K28" s="5"/>
      <c r="L28" s="5"/>
      <c r="M28" s="5"/>
      <c r="N28" s="5"/>
      <c r="O28" s="5"/>
      <c r="R28" s="5"/>
      <c r="U28" s="23"/>
      <c r="V28" s="23"/>
    </row>
    <row r="29" spans="7:22" x14ac:dyDescent="0.25">
      <c r="G29" s="5"/>
      <c r="H29" s="5"/>
      <c r="I29" s="5"/>
      <c r="J29" s="5"/>
      <c r="K29" s="5"/>
      <c r="L29" s="5"/>
      <c r="M29" s="5"/>
      <c r="N29" s="5"/>
      <c r="O29" s="5"/>
      <c r="P29" s="5"/>
      <c r="Q29" s="5"/>
      <c r="R29" s="5"/>
      <c r="U29" s="23"/>
      <c r="V29" s="23"/>
    </row>
    <row r="30" spans="7:22" x14ac:dyDescent="0.25">
      <c r="P30" s="5"/>
      <c r="Q30" s="10"/>
      <c r="R30" s="10"/>
      <c r="U30" s="23"/>
      <c r="V30" s="23"/>
    </row>
    <row r="31" spans="7:22" x14ac:dyDescent="0.25">
      <c r="G31" s="5"/>
      <c r="P31" s="10"/>
      <c r="Q31" s="10"/>
      <c r="U31" s="23"/>
      <c r="V31" s="23"/>
    </row>
    <row r="32" spans="7:22" x14ac:dyDescent="0.25">
      <c r="P32" s="5"/>
      <c r="Q32" s="5"/>
      <c r="R32" s="5"/>
      <c r="U32" s="23"/>
      <c r="V32" s="23"/>
    </row>
    <row r="33" spans="7:22" x14ac:dyDescent="0.25">
      <c r="P33" s="10"/>
      <c r="Q33" s="10"/>
      <c r="R33" s="10"/>
      <c r="U33" s="23"/>
      <c r="V33" s="23"/>
    </row>
    <row r="34" spans="7:22" x14ac:dyDescent="0.25">
      <c r="P34" s="10"/>
      <c r="U34" s="23"/>
      <c r="V34" s="23"/>
    </row>
    <row r="35" spans="7:22" x14ac:dyDescent="0.25">
      <c r="G35" s="5"/>
      <c r="H35" s="5"/>
      <c r="I35" s="5"/>
      <c r="J35" s="5"/>
      <c r="K35" s="5"/>
      <c r="L35" s="5"/>
      <c r="M35" s="5"/>
      <c r="N35" s="5"/>
      <c r="O35" s="5"/>
      <c r="P35" s="5"/>
      <c r="U35" s="23"/>
      <c r="V35" s="23"/>
    </row>
    <row r="36" spans="7:22" x14ac:dyDescent="0.25">
      <c r="P36" s="5"/>
      <c r="R36" s="10"/>
      <c r="U36" s="23"/>
      <c r="V36" s="23"/>
    </row>
    <row r="37" spans="7:22" x14ac:dyDescent="0.25">
      <c r="P37" s="5"/>
      <c r="Q37" s="5"/>
      <c r="R37" s="5"/>
      <c r="U37" s="23"/>
      <c r="V37" s="23"/>
    </row>
    <row r="38" spans="7:22" x14ac:dyDescent="0.25">
      <c r="G38" s="5"/>
      <c r="P38" s="10"/>
      <c r="Q38" s="10"/>
      <c r="R38" s="10"/>
      <c r="U38" s="23"/>
      <c r="V38" s="23"/>
    </row>
    <row r="39" spans="7:22" x14ac:dyDescent="0.25">
      <c r="P39" s="10"/>
      <c r="Q39" s="10"/>
      <c r="U39" s="23"/>
      <c r="V39" s="23"/>
    </row>
    <row r="40" spans="7:22" x14ac:dyDescent="0.25">
      <c r="G40" s="5"/>
      <c r="H40" s="5"/>
      <c r="I40" s="5"/>
      <c r="J40" s="5"/>
      <c r="K40" s="5"/>
      <c r="L40" s="5"/>
      <c r="M40" s="5"/>
      <c r="N40" s="5"/>
      <c r="O40" s="5"/>
      <c r="P40" s="5"/>
      <c r="U40" s="23"/>
      <c r="V40" s="23"/>
    </row>
    <row r="41" spans="7:22" x14ac:dyDescent="0.25">
      <c r="R41" s="10"/>
      <c r="U41" s="23"/>
      <c r="V41" s="23"/>
    </row>
    <row r="42" spans="7:22" x14ac:dyDescent="0.25">
      <c r="G42" s="5"/>
      <c r="H42" s="5"/>
      <c r="I42" s="5"/>
      <c r="J42" s="5"/>
      <c r="K42" s="5"/>
      <c r="L42" s="5"/>
      <c r="M42" s="5"/>
      <c r="N42" s="5"/>
      <c r="O42" s="5"/>
      <c r="P42" s="5"/>
      <c r="Q42" s="5"/>
      <c r="R42" s="5"/>
      <c r="U42" s="23"/>
      <c r="V42" s="23"/>
    </row>
    <row r="43" spans="7:22" x14ac:dyDescent="0.25">
      <c r="G43" s="5"/>
      <c r="P43" s="10"/>
      <c r="Q43" s="10"/>
      <c r="R43" s="10"/>
      <c r="U43" s="23"/>
      <c r="V43" s="23"/>
    </row>
    <row r="44" spans="7:22" x14ac:dyDescent="0.25">
      <c r="P44" s="10"/>
      <c r="Q44" s="10"/>
      <c r="R44" s="10"/>
      <c r="U44" s="23"/>
      <c r="V44" s="23"/>
    </row>
    <row r="45" spans="7:22" x14ac:dyDescent="0.25">
      <c r="G45" s="5"/>
      <c r="U45" s="23"/>
      <c r="V45" s="23"/>
    </row>
    <row r="46" spans="7:22" x14ac:dyDescent="0.25">
      <c r="G46" s="5"/>
      <c r="Q46" s="10"/>
      <c r="R46" s="10"/>
      <c r="U46" s="23"/>
      <c r="V46" s="23"/>
    </row>
    <row r="47" spans="7:22" x14ac:dyDescent="0.25">
      <c r="P47" s="5"/>
      <c r="Q47" s="10"/>
      <c r="U47" s="23"/>
      <c r="V47" s="23"/>
    </row>
    <row r="48" spans="7:22" x14ac:dyDescent="0.25">
      <c r="G48" s="5"/>
      <c r="H48" s="5"/>
      <c r="I48" s="5"/>
      <c r="J48" s="5"/>
      <c r="K48" s="5"/>
      <c r="L48" s="5"/>
      <c r="M48" s="5"/>
      <c r="N48" s="5"/>
      <c r="O48" s="5"/>
      <c r="U48" s="23"/>
      <c r="V48" s="23"/>
    </row>
    <row r="49" spans="7:22" x14ac:dyDescent="0.25">
      <c r="G49" s="5"/>
      <c r="P49" s="10"/>
      <c r="U49" s="23"/>
      <c r="V49" s="23"/>
    </row>
    <row r="50" spans="7:22" x14ac:dyDescent="0.25">
      <c r="G50" s="5"/>
      <c r="P50" s="10"/>
      <c r="Q50" s="10"/>
      <c r="U50" s="23"/>
      <c r="V50" s="23"/>
    </row>
    <row r="51" spans="7:22" x14ac:dyDescent="0.25">
      <c r="G51" s="5"/>
      <c r="H51" s="5"/>
      <c r="I51" s="5"/>
      <c r="J51" s="5"/>
      <c r="K51" s="5"/>
      <c r="L51" s="5"/>
      <c r="M51" s="5"/>
      <c r="N51" s="5"/>
      <c r="O51" s="5"/>
      <c r="P51" s="10"/>
      <c r="Q51" s="10"/>
      <c r="R51" s="10"/>
      <c r="U51" s="23"/>
      <c r="V51" s="23"/>
    </row>
    <row r="52" spans="7:22" x14ac:dyDescent="0.25">
      <c r="G52" s="5"/>
      <c r="I52" s="5"/>
      <c r="J52" s="5"/>
      <c r="K52" s="5"/>
      <c r="L52" s="5"/>
      <c r="M52" s="5"/>
      <c r="N52" s="5"/>
      <c r="O52" s="5"/>
      <c r="P52" s="5"/>
      <c r="Q52" s="5"/>
      <c r="R52" s="5"/>
      <c r="U52" s="23"/>
      <c r="V52" s="23"/>
    </row>
    <row r="53" spans="7:22" x14ac:dyDescent="0.25">
      <c r="P53" s="10"/>
      <c r="Q53" s="10"/>
      <c r="R53" s="10"/>
      <c r="U53" s="23"/>
      <c r="V53" s="23"/>
    </row>
    <row r="54" spans="7:22" x14ac:dyDescent="0.25">
      <c r="G54" s="5"/>
      <c r="H54" s="5"/>
      <c r="I54" s="5"/>
      <c r="J54" s="5"/>
      <c r="K54" s="5"/>
      <c r="L54" s="5"/>
      <c r="M54" s="5"/>
      <c r="N54" s="5"/>
      <c r="O54" s="5"/>
      <c r="P54" s="5"/>
      <c r="Q54" s="5"/>
      <c r="R54" s="5"/>
      <c r="U54" s="23"/>
      <c r="V54" s="23"/>
    </row>
    <row r="55" spans="7:22" x14ac:dyDescent="0.25">
      <c r="P55" s="10"/>
      <c r="Q55" s="10"/>
      <c r="R55" s="10"/>
      <c r="U55" s="23"/>
      <c r="V55" s="23"/>
    </row>
    <row r="56" spans="7:22" x14ac:dyDescent="0.25">
      <c r="P56" s="10"/>
      <c r="Q56" s="10"/>
      <c r="R56" s="10"/>
      <c r="U56" s="23"/>
      <c r="V56" s="23"/>
    </row>
    <row r="57" spans="7:22" x14ac:dyDescent="0.25">
      <c r="G57" s="5"/>
      <c r="I57" s="5"/>
      <c r="K57" s="5"/>
      <c r="M57" s="5"/>
      <c r="O57" s="5"/>
      <c r="P57" s="5"/>
      <c r="Q57" s="5"/>
      <c r="R57" s="5"/>
      <c r="U57" s="23"/>
      <c r="V57" s="23"/>
    </row>
    <row r="58" spans="7:22" x14ac:dyDescent="0.25">
      <c r="P58" s="10"/>
      <c r="Q58" s="10"/>
      <c r="R58" s="10"/>
      <c r="U58" s="23"/>
      <c r="V58" s="23"/>
    </row>
    <row r="59" spans="7:22" x14ac:dyDescent="0.25">
      <c r="P59" s="10"/>
      <c r="Q59" s="10"/>
      <c r="U59" s="23"/>
      <c r="V59" s="23"/>
    </row>
    <row r="60" spans="7:22" x14ac:dyDescent="0.25">
      <c r="P60" s="9"/>
      <c r="Q60" s="9"/>
      <c r="R60" s="9"/>
      <c r="S60" s="7"/>
      <c r="T60" s="7"/>
      <c r="U60" s="24"/>
      <c r="V60" s="24"/>
    </row>
    <row r="61" spans="7:22" x14ac:dyDescent="0.25">
      <c r="R61" s="10"/>
      <c r="U61" s="23"/>
      <c r="V61" s="23"/>
    </row>
    <row r="62" spans="7:22" x14ac:dyDescent="0.25">
      <c r="G62" s="5"/>
      <c r="P62" s="10"/>
      <c r="U62" s="23"/>
      <c r="V62" s="23"/>
    </row>
    <row r="63" spans="7:22" x14ac:dyDescent="0.25">
      <c r="G63" s="5"/>
      <c r="P63" s="10"/>
      <c r="Q63" s="10"/>
      <c r="R63" s="10"/>
      <c r="U63" s="23"/>
      <c r="V63" s="23"/>
    </row>
    <row r="64" spans="7:22" x14ac:dyDescent="0.25">
      <c r="G64" s="5"/>
      <c r="P64" s="5"/>
      <c r="Q64" s="5"/>
      <c r="R64" s="5"/>
      <c r="U64" s="23"/>
      <c r="V64" s="23"/>
    </row>
    <row r="65" spans="7:22" x14ac:dyDescent="0.25">
      <c r="G65" s="5"/>
      <c r="I65" s="5"/>
      <c r="J65" s="5"/>
      <c r="K65" s="5"/>
      <c r="L65" s="5"/>
      <c r="M65" s="5"/>
      <c r="N65" s="5"/>
      <c r="O65" s="5"/>
      <c r="P65" s="10"/>
      <c r="Q65" s="10"/>
      <c r="R65" s="10"/>
      <c r="U65" s="23"/>
      <c r="V65" s="23"/>
    </row>
    <row r="66" spans="7:22" x14ac:dyDescent="0.25">
      <c r="G66" s="5"/>
      <c r="I66" s="5"/>
      <c r="K66" s="5"/>
      <c r="M66" s="5"/>
      <c r="O66" s="5"/>
      <c r="P66" s="5"/>
      <c r="Q66" s="10"/>
      <c r="R66" s="10"/>
      <c r="U66" s="23"/>
      <c r="V66" s="23"/>
    </row>
    <row r="67" spans="7:22" x14ac:dyDescent="0.25">
      <c r="G67" s="5"/>
      <c r="R67" s="10"/>
      <c r="U67" s="23"/>
      <c r="V67" s="23"/>
    </row>
    <row r="68" spans="7:22" x14ac:dyDescent="0.25">
      <c r="P68" s="10"/>
      <c r="Q68" s="10"/>
      <c r="R68" s="10"/>
      <c r="U68" s="23"/>
      <c r="V68" s="23"/>
    </row>
    <row r="69" spans="7:22" x14ac:dyDescent="0.25">
      <c r="P69" s="10"/>
      <c r="Q69" s="10"/>
      <c r="R69" s="10"/>
      <c r="U69" s="23"/>
      <c r="V69" s="23"/>
    </row>
    <row r="70" spans="7:22" x14ac:dyDescent="0.25">
      <c r="P70" s="10"/>
      <c r="Q70" s="10"/>
      <c r="U70" s="23"/>
      <c r="V70" s="23"/>
    </row>
    <row r="71" spans="7:22" x14ac:dyDescent="0.25">
      <c r="G71" s="6"/>
      <c r="P71" s="10"/>
      <c r="Q71" s="10"/>
      <c r="R71" s="10"/>
      <c r="U71" s="23"/>
      <c r="V71" s="23"/>
    </row>
    <row r="72" spans="7:22" x14ac:dyDescent="0.25">
      <c r="G72" s="5"/>
      <c r="P72" s="10"/>
      <c r="Q72" s="10"/>
      <c r="R72" s="10"/>
      <c r="U72" s="23"/>
      <c r="V72" s="23"/>
    </row>
    <row r="73" spans="7:22" x14ac:dyDescent="0.25">
      <c r="G73" s="5"/>
      <c r="P73" s="10"/>
      <c r="U73" s="23"/>
      <c r="V73" s="23"/>
    </row>
    <row r="74" spans="7:22" x14ac:dyDescent="0.25">
      <c r="Q74" s="10"/>
      <c r="R74" s="10"/>
      <c r="U74" s="23"/>
      <c r="V74" s="23"/>
    </row>
    <row r="75" spans="7:22" x14ac:dyDescent="0.25">
      <c r="P75" s="10"/>
      <c r="Q75" s="10"/>
      <c r="U75" s="23"/>
      <c r="V75" s="23"/>
    </row>
    <row r="76" spans="7:22" x14ac:dyDescent="0.25">
      <c r="U76" s="23"/>
      <c r="V76" s="23"/>
    </row>
    <row r="77" spans="7:22" x14ac:dyDescent="0.25">
      <c r="P77" s="10"/>
      <c r="Q77" s="10"/>
      <c r="U77" s="23"/>
      <c r="V77" s="23"/>
    </row>
    <row r="78" spans="7:22" x14ac:dyDescent="0.25">
      <c r="G78" s="5"/>
      <c r="P78" s="10"/>
      <c r="Q78" s="10"/>
      <c r="U78" s="23"/>
      <c r="V78" s="23"/>
    </row>
    <row r="79" spans="7:22" x14ac:dyDescent="0.25">
      <c r="P79" s="10"/>
      <c r="Q79" s="10"/>
      <c r="R79" s="10"/>
      <c r="U79" s="23"/>
      <c r="V79" s="23"/>
    </row>
    <row r="80" spans="7:22" x14ac:dyDescent="0.25">
      <c r="G80" s="5"/>
      <c r="P80" s="10"/>
      <c r="Q80" s="10"/>
      <c r="R80" s="10"/>
      <c r="U80" s="23"/>
      <c r="V80" s="23"/>
    </row>
    <row r="81" spans="1:22" x14ac:dyDescent="0.25">
      <c r="P81" s="10"/>
      <c r="Q81" s="10"/>
      <c r="R81" s="10"/>
      <c r="U81" s="23"/>
      <c r="V81" s="23"/>
    </row>
    <row r="82" spans="1:22" x14ac:dyDescent="0.25">
      <c r="G82" s="5"/>
      <c r="P82" s="10"/>
      <c r="Q82" s="10"/>
      <c r="R82" s="10"/>
      <c r="U82" s="23"/>
      <c r="V82" s="23"/>
    </row>
    <row r="83" spans="1:22" x14ac:dyDescent="0.25">
      <c r="G83" s="5"/>
      <c r="P83" s="10"/>
      <c r="Q83" s="10"/>
      <c r="R83" s="10"/>
      <c r="U83" s="23"/>
      <c r="V83" s="23"/>
    </row>
    <row r="84" spans="1:22" x14ac:dyDescent="0.25">
      <c r="G84" s="5"/>
      <c r="P84" s="10"/>
      <c r="Q84" s="10"/>
      <c r="U84" s="23"/>
      <c r="V84" s="23"/>
    </row>
    <row r="85" spans="1:22" x14ac:dyDescent="0.25">
      <c r="G85" s="5"/>
      <c r="P85" s="10"/>
      <c r="Q85" s="10"/>
      <c r="U85" s="23"/>
      <c r="V85" s="23"/>
    </row>
    <row r="86" spans="1:22" x14ac:dyDescent="0.25">
      <c r="G86" s="5"/>
      <c r="P86" s="10"/>
      <c r="Q86" s="10"/>
      <c r="R86" s="10"/>
      <c r="U86" s="23"/>
      <c r="V86" s="23"/>
    </row>
    <row r="87" spans="1:22" x14ac:dyDescent="0.25">
      <c r="G87" s="5"/>
      <c r="P87" s="10"/>
      <c r="Q87" s="10"/>
      <c r="U87" s="23"/>
      <c r="V87" s="23"/>
    </row>
    <row r="88" spans="1:22" x14ac:dyDescent="0.25">
      <c r="G88" s="5"/>
      <c r="P88" s="10"/>
      <c r="Q88" s="10"/>
      <c r="R88" s="10"/>
      <c r="U88" s="23"/>
      <c r="V88" s="23"/>
    </row>
    <row r="89" spans="1:22" s="9" customFormat="1" x14ac:dyDescent="0.25">
      <c r="A89" s="4"/>
      <c r="B89" s="4"/>
      <c r="C89" s="4"/>
      <c r="D89" s="4"/>
      <c r="E89" s="4"/>
      <c r="F89" s="4"/>
      <c r="G89" s="5"/>
      <c r="H89" s="10"/>
      <c r="I89" s="10"/>
      <c r="J89" s="10"/>
      <c r="K89" s="10"/>
      <c r="L89" s="10"/>
      <c r="M89" s="10"/>
      <c r="N89" s="10"/>
      <c r="O89" s="10"/>
      <c r="P89" s="10"/>
      <c r="Q89" s="10"/>
      <c r="R89" s="10"/>
      <c r="S89" s="4"/>
      <c r="T89" s="4"/>
      <c r="U89" s="23"/>
      <c r="V89" s="23"/>
    </row>
    <row r="90" spans="1:22" x14ac:dyDescent="0.25">
      <c r="G90" s="5"/>
      <c r="P90" s="10"/>
      <c r="Q90" s="10"/>
      <c r="R90" s="10"/>
      <c r="U90" s="23"/>
      <c r="V90" s="23"/>
    </row>
    <row r="91" spans="1:22" x14ac:dyDescent="0.25">
      <c r="P91" s="10"/>
      <c r="Q91" s="10"/>
      <c r="R91" s="10"/>
      <c r="U91" s="23"/>
      <c r="V91" s="23"/>
    </row>
    <row r="92" spans="1:22" x14ac:dyDescent="0.25">
      <c r="G92" s="5"/>
      <c r="P92" s="10"/>
      <c r="Q92" s="10"/>
      <c r="R92" s="10"/>
      <c r="U92" s="23"/>
      <c r="V92" s="23"/>
    </row>
    <row r="93" spans="1:22" x14ac:dyDescent="0.25">
      <c r="G93" s="5"/>
      <c r="U93" s="23"/>
      <c r="V93" s="23"/>
    </row>
    <row r="94" spans="1:22" x14ac:dyDescent="0.25">
      <c r="P94" s="10"/>
      <c r="U94" s="23"/>
      <c r="V94" s="23"/>
    </row>
    <row r="95" spans="1:22" x14ac:dyDescent="0.25">
      <c r="P95" s="10"/>
      <c r="U95" s="23"/>
      <c r="V95" s="23"/>
    </row>
    <row r="96" spans="1:22" x14ac:dyDescent="0.25">
      <c r="P96" s="10"/>
      <c r="Q96" s="10"/>
      <c r="U96" s="23"/>
      <c r="V96" s="23"/>
    </row>
    <row r="97" spans="7:22" x14ac:dyDescent="0.25">
      <c r="P97" s="10"/>
      <c r="Q97" s="10"/>
      <c r="U97" s="23"/>
      <c r="V97" s="23"/>
    </row>
    <row r="98" spans="7:22" x14ac:dyDescent="0.25">
      <c r="R98" s="10"/>
      <c r="U98" s="23"/>
      <c r="V98" s="23"/>
    </row>
    <row r="99" spans="7:22" x14ac:dyDescent="0.25">
      <c r="P99" s="10"/>
      <c r="R99" s="10"/>
      <c r="U99" s="23"/>
      <c r="V99" s="23"/>
    </row>
    <row r="100" spans="7:22" x14ac:dyDescent="0.25">
      <c r="G100" s="5"/>
      <c r="U100" s="23"/>
      <c r="V100" s="23"/>
    </row>
    <row r="101" spans="7:22" x14ac:dyDescent="0.25">
      <c r="G101" s="5"/>
      <c r="P101" s="10"/>
      <c r="U101" s="23"/>
      <c r="V101" s="23"/>
    </row>
    <row r="102" spans="7:22" x14ac:dyDescent="0.25">
      <c r="P102" s="10"/>
      <c r="Q102" s="10"/>
      <c r="U102" s="23"/>
      <c r="V102" s="23"/>
    </row>
    <row r="103" spans="7:22" x14ac:dyDescent="0.25">
      <c r="P103" s="10"/>
      <c r="Q103" s="10"/>
      <c r="R103" s="10"/>
      <c r="U103" s="23"/>
      <c r="V103" s="23"/>
    </row>
    <row r="104" spans="7:22" x14ac:dyDescent="0.25">
      <c r="G104" s="5"/>
      <c r="P104" s="10"/>
      <c r="U104" s="23"/>
      <c r="V104" s="23"/>
    </row>
    <row r="105" spans="7:22" x14ac:dyDescent="0.25">
      <c r="P105" s="10"/>
      <c r="Q105" s="10"/>
      <c r="R105" s="10"/>
      <c r="U105" s="23"/>
      <c r="V105" s="23"/>
    </row>
    <row r="106" spans="7:22" x14ac:dyDescent="0.25">
      <c r="G106" s="5"/>
      <c r="P106" s="10"/>
      <c r="U106" s="23"/>
      <c r="V106" s="23"/>
    </row>
    <row r="107" spans="7:22" x14ac:dyDescent="0.25">
      <c r="G107" s="5"/>
      <c r="P107" s="10"/>
      <c r="Q107" s="10"/>
      <c r="U107" s="23"/>
      <c r="V107" s="23"/>
    </row>
    <row r="108" spans="7:22" x14ac:dyDescent="0.25">
      <c r="P108" s="10"/>
      <c r="Q108" s="10"/>
      <c r="U108" s="23"/>
      <c r="V108" s="23"/>
    </row>
    <row r="109" spans="7:22" x14ac:dyDescent="0.25">
      <c r="G109" s="5"/>
      <c r="P109" s="10"/>
      <c r="Q109" s="10"/>
      <c r="U109" s="23"/>
      <c r="V109" s="23"/>
    </row>
    <row r="110" spans="7:22" x14ac:dyDescent="0.25">
      <c r="G110" s="5"/>
      <c r="P110" s="10"/>
      <c r="Q110" s="10"/>
      <c r="R110" s="10"/>
      <c r="U110" s="23"/>
      <c r="V110" s="23"/>
    </row>
    <row r="111" spans="7:22" x14ac:dyDescent="0.25">
      <c r="P111" s="10"/>
      <c r="Q111" s="10"/>
      <c r="R111" s="10"/>
      <c r="U111" s="23"/>
      <c r="V111" s="23"/>
    </row>
    <row r="112" spans="7:22" x14ac:dyDescent="0.25">
      <c r="P112" s="10"/>
      <c r="R112" s="10"/>
      <c r="U112" s="23"/>
      <c r="V112" s="23"/>
    </row>
    <row r="113" spans="2:22" x14ac:dyDescent="0.25">
      <c r="P113" s="10"/>
      <c r="U113" s="23"/>
      <c r="V113" s="23"/>
    </row>
    <row r="114" spans="2:22" x14ac:dyDescent="0.25">
      <c r="P114" s="10"/>
      <c r="U114" s="23"/>
      <c r="V114" s="23"/>
    </row>
    <row r="115" spans="2:22" x14ac:dyDescent="0.25">
      <c r="G115" s="5"/>
      <c r="P115" s="10"/>
      <c r="U115" s="23"/>
      <c r="V115" s="23"/>
    </row>
    <row r="116" spans="2:22" x14ac:dyDescent="0.25">
      <c r="P116" s="10"/>
      <c r="U116" s="23"/>
      <c r="V116" s="23"/>
    </row>
    <row r="117" spans="2:22" x14ac:dyDescent="0.25">
      <c r="P117" s="10"/>
      <c r="Q117" s="10"/>
      <c r="U117" s="23"/>
      <c r="V117" s="23"/>
    </row>
    <row r="118" spans="2:22" x14ac:dyDescent="0.25">
      <c r="G118" s="5"/>
      <c r="P118" s="10"/>
      <c r="Q118" s="10"/>
      <c r="U118" s="23"/>
      <c r="V118" s="23"/>
    </row>
    <row r="119" spans="2:22" x14ac:dyDescent="0.25">
      <c r="U119" s="23"/>
      <c r="V119" s="23"/>
    </row>
    <row r="120" spans="2:22" x14ac:dyDescent="0.25">
      <c r="G120" s="5"/>
      <c r="P120" s="10"/>
      <c r="Q120" s="10"/>
      <c r="U120" s="23"/>
      <c r="V120" s="23"/>
    </row>
    <row r="121" spans="2:22" x14ac:dyDescent="0.25">
      <c r="P121" s="10"/>
      <c r="Q121" s="10"/>
      <c r="R121" s="10"/>
      <c r="U121" s="23"/>
      <c r="V121" s="23"/>
    </row>
    <row r="122" spans="2:22" x14ac:dyDescent="0.25">
      <c r="U122" s="23"/>
      <c r="V122" s="23"/>
    </row>
    <row r="123" spans="2:22" x14ac:dyDescent="0.25">
      <c r="G123" s="5"/>
      <c r="P123" s="10"/>
      <c r="Q123" s="10"/>
      <c r="R123" s="10"/>
      <c r="U123" s="23"/>
      <c r="V123" s="23"/>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215</v>
      </c>
    </row>
    <row r="3" spans="1:1" x14ac:dyDescent="0.25">
      <c r="A3" t="s">
        <v>389</v>
      </c>
    </row>
    <row r="4" spans="1:1" x14ac:dyDescent="0.25">
      <c r="A4" t="s">
        <v>424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2025-03-08T19:43:01Z</dcterms:modified>
</cp:coreProperties>
</file>